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etup" sheetId="2" state="visible" r:id="rId2"/>
    <sheet name="Weight Log" sheetId="3" state="visible" r:id="rId3"/>
    <sheet name="Workout Log" sheetId="4" state="visible" r:id="rId4"/>
    <sheet name="Guide" sheetId="5" state="visible" r:id="rId5"/>
  </sheets>
  <definedNames>
    <definedName name="_xlnm.Print_Area" localSheetId="0">'Dashboard'!$A$1:$N$20</definedName>
    <definedName name="_xlnm.Print_Area" localSheetId="1">'Setup'!$A$1:$F$26</definedName>
    <definedName name="_xlnm.Print_Titles" localSheetId="2">'Weight Log'!$3:$3</definedName>
    <definedName name="_xlnm.Print_Titles" localSheetId="3">'Workout Log'!$3:$3</definedName>
    <definedName name="_xlnm.Print_Area" localSheetId="4">'Guide'!$A$1:$A$25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00"/>
    <numFmt numFmtId="166" formatCode="yyyy-mm-dd"/>
    <numFmt numFmtId="167" formatCode="+0.00;-0.00"/>
    <numFmt numFmtId="168" formatCode="+0.0%;-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00FF"/>
    </font>
    <font>
      <name val="Arial"/>
      <i val="1"/>
      <color rgb="006B7280"/>
      <sz val="9"/>
    </font>
    <font>
      <name val="Arial"/>
      <b val="1"/>
      <sz val="11"/>
    </font>
    <font>
      <name val="Arial"/>
      <b val="1"/>
      <color rgb="006B7280"/>
      <sz val="9"/>
    </font>
    <font>
      <name val="Arial"/>
      <sz val="9"/>
    </font>
    <font>
      <name val="Arial"/>
      <color rgb="000000FF"/>
    </font>
    <font>
      <name val="Arial"/>
      <b val="1"/>
      <color rgb="00D97706"/>
    </font>
    <font>
      <name val="Arial"/>
      <b val="1"/>
      <color rgb="00008000"/>
      <sz val="11"/>
    </font>
    <font>
      <name val="Arial"/>
      <i val="1"/>
      <sz val="1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1" fontId="11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2" fontId="6" fillId="0" borderId="0" pivotButton="0" quotePrefix="0" xfId="0"/>
    <xf numFmtId="167" fontId="6" fillId="0" borderId="0" pivotButton="0" quotePrefix="0" xfId="0"/>
    <xf numFmtId="168" fontId="6" fillId="0" borderId="0" pivotButton="0" quotePrefix="0" xfId="0"/>
    <xf numFmtId="0" fontId="12" fillId="0" borderId="0" applyAlignment="1" pivotButton="0" quotePrefix="0" xfId="0">
      <alignment vertical="top" wrapText="1"/>
    </xf>
    <xf numFmtId="0" fontId="7" fillId="0" borderId="0" pivotButton="0" quotePrefix="0" xfId="0"/>
    <xf numFmtId="0" fontId="4" fillId="0" borderId="0" pivotButton="0" quotePrefix="0" xfId="0"/>
    <xf numFmtId="0" fontId="8" fillId="0" borderId="0" pivotButton="0" quotePrefix="0" xfId="0"/>
    <xf numFmtId="9" fontId="8" fillId="0" borderId="0" pivotButton="0" quotePrefix="0" xfId="0"/>
    <xf numFmtId="164" fontId="3" fillId="0" borderId="0" pivotButton="0" quotePrefix="0" xfId="0"/>
    <xf numFmtId="1" fontId="3" fillId="0" borderId="0" pivotButton="0" quotePrefix="0" xfId="0"/>
    <xf numFmtId="165" fontId="3" fillId="0" borderId="0" pivotButton="0" quotePrefix="0" xfId="0"/>
    <xf numFmtId="9" fontId="3" fillId="0" borderId="0" pivotButton="0" quotePrefix="0" xfId="0"/>
    <xf numFmtId="1" fontId="6" fillId="0" borderId="0" pivotButton="0" quotePrefix="0" xfId="0"/>
    <xf numFmtId="0" fontId="2" fillId="2" borderId="0" applyAlignment="1" pivotButton="0" quotePrefix="0" xfId="0">
      <alignment horizontal="center" vertical="center"/>
    </xf>
    <xf numFmtId="166" fontId="0" fillId="0" borderId="0" pivotButton="0" quotePrefix="0" xfId="0"/>
    <xf numFmtId="164" fontId="9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4" fontId="0" fillId="0" borderId="0" pivotButton="0" quotePrefix="0" xfId="0"/>
    <xf numFmtId="166" fontId="9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Weight vs 7-day trend</a:t>
            </a:r>
          </a:p>
        </rich>
      </tx>
    </title>
    <plotArea>
      <lineChart>
        <grouping val="standard"/>
        <ser>
          <idx val="0"/>
          <order val="0"/>
          <tx>
            <strRef>
              <f>'Weight Log'!B3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'Weight Log'!$A$4:$A$123</f>
            </numRef>
          </cat>
          <val>
            <numRef>
              <f>'Weight Log'!$B$4:$B$123</f>
            </numRef>
          </val>
        </ser>
        <ser>
          <idx val="1"/>
          <order val="1"/>
          <tx>
            <strRef>
              <f>'Weight Log'!C3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'Weight Log'!$A$4:$A$123</f>
            </numRef>
          </cat>
          <val>
            <numRef>
              <f>'Weight Log'!$C$4:$C$123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Adaptive Fitness Tracker</author>
  </authors>
  <commentList>
    <comment ref="B13" authorId="0" shapeId="0">
      <text>
        <t>Weekly rate as % of bodyweight. Healthy cut: -0.25% to -1%. Lean bulk: +0.1% to +0.5%.</t>
      </text>
    </comment>
  </commentList>
</comments>
</file>

<file path=xl/comments/comment2.xml><?xml version="1.0" encoding="utf-8"?>
<comments xmlns="http://schemas.openxmlformats.org/spreadsheetml/2006/main">
  <authors>
    <author>Adaptive Fitness Tracker</author>
  </authors>
  <commentList>
    <comment ref="B16" authorId="0" shapeId="0">
      <text>
        <t>Mifflin-St Jeor equation (1990), the most accurate BMR formula for the general population.</t>
      </text>
    </comment>
  </commentList>
</comments>
</file>

<file path=xl/comments/comment3.xml><?xml version="1.0" encoding="utf-8"?>
<comments xmlns="http://schemas.openxmlformats.org/spreadsheetml/2006/main">
  <authors>
    <author>Adaptive Fitness Tracker</author>
  </authors>
  <commentList>
    <comment ref="F3" authorId="0" shapeId="0">
      <text>
        <t>Estimated 1-rep max, Epley formula: weight x (1 + reps/30).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61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 fitToPage="1"/>
  </sheetPr>
  <dimension ref="A1:I1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8" customWidth="1" min="3" max="3"/>
  </cols>
  <sheetData>
    <row r="1" ht="30" customHeight="1">
      <c r="A1" s="1" t="inlineStr">
        <is>
          <t>ADAPTIVE FITNESS TRACKER</t>
        </is>
      </c>
    </row>
    <row r="3">
      <c r="A3" s="2" t="inlineStr">
        <is>
          <t>YOUR DAILY TARGETS</t>
        </is>
      </c>
      <c r="B3" s="3" t="n"/>
      <c r="C3" s="3" t="n"/>
    </row>
    <row r="4">
      <c r="A4" s="4" t="inlineStr">
        <is>
          <t>Calories</t>
        </is>
      </c>
      <c r="B4" s="5">
        <f>Setup!$B$22</f>
        <v/>
      </c>
      <c r="C4" s="6" t="inlineStr">
        <is>
          <t>kcal</t>
        </is>
      </c>
    </row>
    <row r="5">
      <c r="A5" s="4" t="inlineStr">
        <is>
          <t>Protein</t>
        </is>
      </c>
      <c r="B5" s="5">
        <f>Setup!$B$23</f>
        <v/>
      </c>
      <c r="C5" s="6" t="inlineStr">
        <is>
          <t>g</t>
        </is>
      </c>
    </row>
    <row r="6">
      <c r="A6" s="4" t="inlineStr">
        <is>
          <t>Fat</t>
        </is>
      </c>
      <c r="B6" s="5">
        <f>Setup!$B$24</f>
        <v/>
      </c>
      <c r="C6" s="6" t="inlineStr">
        <is>
          <t>g</t>
        </is>
      </c>
    </row>
    <row r="7">
      <c r="A7" s="4" t="inlineStr">
        <is>
          <t>Carbs</t>
        </is>
      </c>
      <c r="B7" s="5">
        <f>Setup!$B$25</f>
        <v/>
      </c>
      <c r="C7" s="6" t="inlineStr">
        <is>
          <t>g</t>
        </is>
      </c>
    </row>
    <row r="8">
      <c r="A8" s="4" t="inlineStr">
        <is>
          <t>Goal</t>
        </is>
      </c>
      <c r="B8" s="7">
        <f>Setup!$B$10</f>
        <v/>
      </c>
    </row>
    <row r="10">
      <c r="A10" s="2" t="inlineStr">
        <is>
          <t>WEIGHT TREND</t>
        </is>
      </c>
      <c r="B10" s="3" t="n"/>
      <c r="C10" s="3" t="n"/>
    </row>
    <row r="11">
      <c r="A11" s="4" t="inlineStr">
        <is>
          <t>Trend weight (7-day)</t>
        </is>
      </c>
      <c r="B11" s="8">
        <f>IFERROR(LOOKUP(2,1/('Weight Log'!$C$4:$C$123&lt;&gt;""),'Weight Log'!$C$4:$C$123),"—")</f>
        <v/>
      </c>
    </row>
    <row r="12">
      <c r="A12" s="4" t="inlineStr">
        <is>
          <t>Change per week</t>
        </is>
      </c>
      <c r="B12" s="9">
        <f>IFERROR(LOOKUP(2,1/('Weight Log'!$D$4:$D$123&lt;&gt;""),'Weight Log'!$D$4:$D$123),"—")</f>
        <v/>
      </c>
    </row>
    <row r="13">
      <c r="A13" s="4" t="inlineStr">
        <is>
          <t>Rate (% bodyweight/wk)</t>
        </is>
      </c>
      <c r="B13" s="10">
        <f>IFERROR(LOOKUP(2,1/('Weight Log'!$E$4:$E$123&lt;&gt;""),'Weight Log'!$E$4:$E$123),"—")</f>
        <v/>
      </c>
    </row>
    <row r="15">
      <c r="A15" s="2" t="inlineStr">
        <is>
          <t>COACH SUGGESTION</t>
        </is>
      </c>
      <c r="B15" s="3" t="n"/>
      <c r="C15" s="3" t="n"/>
    </row>
    <row r="16">
      <c r="A16" s="11">
        <f>IF($B$13="—","Log your weight daily for ~2 weeks to unlock coaching.",IF(Setup!$B$10="Cut",IF($B$13&gt;-0.0025,"Trend is flat — drop ~150 kcal (from carbs) or add 2,000 steps/day.",IF($B$13&lt;-0.01,"Losing too fast — add ~150 kcal back to protect muscle.","On track — keep going.")),IF(Setup!$B$10="Bulk",IF($B$13&lt;0.001,"Scale is not moving — add ~150 kcal.",IF($B$13&gt;0.005,"Gaining too fast — trim ~100 kcal.","On track — keep going.")),"Maintenance: stay within ±0.25% per week.")))</f>
        <v/>
      </c>
    </row>
    <row r="17"/>
    <row r="18"/>
  </sheetData>
  <mergeCells count="2">
    <mergeCell ref="A1:I1"/>
    <mergeCell ref="A16:C18"/>
  </mergeCells>
  <pageMargins left="0.4" right="0.4" top="0.5" bottom="0.5" header="0.5" footer="0.5"/>
  <pageSetup orientation="landscape" fitToHeight="1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000FF"/>
    <outlinePr summaryBelow="1" summaryRight="1"/>
    <pageSetUpPr fitToPage="1"/>
  </sheetPr>
  <dimension ref="A1:F25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36" customWidth="1" min="3" max="3"/>
    <col width="3" customWidth="1" min="4" max="4"/>
    <col width="14" customWidth="1" min="5" max="5"/>
    <col width="8" customWidth="1" min="6" max="6"/>
  </cols>
  <sheetData>
    <row r="1" ht="30" customHeight="1">
      <c r="A1" s="1" t="inlineStr">
        <is>
          <t>SETUP — fill in the blue cells</t>
        </is>
      </c>
    </row>
    <row r="3">
      <c r="A3" s="2" t="inlineStr">
        <is>
          <t>YOUR DETAILS</t>
        </is>
      </c>
      <c r="B3" s="3" t="n"/>
      <c r="C3" s="3" t="n"/>
      <c r="E3" s="12" t="inlineStr">
        <is>
          <t>Activity</t>
        </is>
      </c>
      <c r="F3" s="12" t="inlineStr">
        <is>
          <t>Factor</t>
        </is>
      </c>
    </row>
    <row r="4">
      <c r="A4" s="4" t="inlineStr">
        <is>
          <t>Units</t>
        </is>
      </c>
      <c r="B4" s="13" t="inlineStr">
        <is>
          <t>Metric</t>
        </is>
      </c>
      <c r="C4" s="6" t="inlineStr">
        <is>
          <t>Imperial = pounds &amp; inches</t>
        </is>
      </c>
      <c r="E4" s="14" t="inlineStr">
        <is>
          <t>Sedentary</t>
        </is>
      </c>
      <c r="F4" s="14" t="n">
        <v>1.2</v>
      </c>
    </row>
    <row r="5">
      <c r="A5" s="4" t="inlineStr">
        <is>
          <t>Sex</t>
        </is>
      </c>
      <c r="B5" s="13" t="inlineStr">
        <is>
          <t>M</t>
        </is>
      </c>
      <c r="E5" s="14" t="inlineStr">
        <is>
          <t>Light</t>
        </is>
      </c>
      <c r="F5" s="14" t="n">
        <v>1.375</v>
      </c>
    </row>
    <row r="6">
      <c r="A6" s="4" t="inlineStr">
        <is>
          <t>Age</t>
        </is>
      </c>
      <c r="B6" s="13" t="n">
        <v>30</v>
      </c>
      <c r="E6" s="14" t="inlineStr">
        <is>
          <t>Moderate</t>
        </is>
      </c>
      <c r="F6" s="14" t="n">
        <v>1.55</v>
      </c>
    </row>
    <row r="7">
      <c r="A7" s="4" t="inlineStr">
        <is>
          <t>Height</t>
        </is>
      </c>
      <c r="B7" s="13" t="n">
        <v>180</v>
      </c>
      <c r="C7" s="6" t="inlineStr">
        <is>
          <t>cm (Metric) or total inches (Imperial)</t>
        </is>
      </c>
      <c r="E7" s="14" t="inlineStr">
        <is>
          <t>Very Active</t>
        </is>
      </c>
      <c r="F7" s="14" t="n">
        <v>1.725</v>
      </c>
    </row>
    <row r="8">
      <c r="A8" s="4" t="inlineStr">
        <is>
          <t>Weight</t>
        </is>
      </c>
      <c r="B8" s="13" t="n">
        <v>80</v>
      </c>
      <c r="C8" s="6" t="inlineStr">
        <is>
          <t>kg (Metric) or lb (Imperial)</t>
        </is>
      </c>
      <c r="E8" s="14" t="inlineStr">
        <is>
          <t>Athlete</t>
        </is>
      </c>
      <c r="F8" s="14" t="n">
        <v>1.9</v>
      </c>
    </row>
    <row r="9">
      <c r="A9" s="4" t="inlineStr">
        <is>
          <t>Activity level</t>
        </is>
      </c>
      <c r="B9" s="13" t="inlineStr">
        <is>
          <t>Moderate</t>
        </is>
      </c>
      <c r="C9" s="6" t="inlineStr">
        <is>
          <t>see table on the right</t>
        </is>
      </c>
    </row>
    <row r="10">
      <c r="A10" s="4" t="inlineStr">
        <is>
          <t>Goal</t>
        </is>
      </c>
      <c r="B10" s="13" t="inlineStr">
        <is>
          <t>Cut</t>
        </is>
      </c>
      <c r="C10" s="6" t="inlineStr">
        <is>
          <t>Cut -20% | Maintain | Bulk +10%</t>
        </is>
      </c>
      <c r="E10" s="12" t="inlineStr">
        <is>
          <t>Goal</t>
        </is>
      </c>
      <c r="F10" s="12" t="inlineStr">
        <is>
          <t>Adj.</t>
        </is>
      </c>
    </row>
    <row r="11">
      <c r="A11" s="4" t="inlineStr">
        <is>
          <t>Protein level</t>
        </is>
      </c>
      <c r="B11" s="13" t="n">
        <v>2</v>
      </c>
      <c r="C11" s="6" t="inlineStr">
        <is>
          <t>grams of protein per kg of bodyweight</t>
        </is>
      </c>
      <c r="E11" s="14" t="inlineStr">
        <is>
          <t>Cut</t>
        </is>
      </c>
      <c r="F11" s="15" t="n">
        <v>-0.2</v>
      </c>
    </row>
    <row r="12">
      <c r="E12" s="14" t="inlineStr">
        <is>
          <t>Maintain</t>
        </is>
      </c>
      <c r="F12" s="15" t="n">
        <v>0</v>
      </c>
    </row>
    <row r="13">
      <c r="A13" s="2" t="inlineStr">
        <is>
          <t>ENGINE (don't touch)</t>
        </is>
      </c>
      <c r="B13" s="3" t="n"/>
      <c r="C13" s="3" t="n"/>
      <c r="E13" s="14" t="inlineStr">
        <is>
          <t>Bulk</t>
        </is>
      </c>
      <c r="F13" s="15" t="n">
        <v>0.1</v>
      </c>
    </row>
    <row r="14">
      <c r="A14" s="4" t="inlineStr">
        <is>
          <t>Weight (kg)</t>
        </is>
      </c>
      <c r="B14" s="16">
        <f>IF($B$4="Imperial",$B$8*0.453592,$B$8)</f>
        <v/>
      </c>
    </row>
    <row r="15">
      <c r="A15" s="4" t="inlineStr">
        <is>
          <t>Height (cm)</t>
        </is>
      </c>
      <c r="B15" s="16">
        <f>IF($B$4="Imperial",$B$7*2.54,$B$7)</f>
        <v/>
      </c>
    </row>
    <row r="16">
      <c r="A16" s="4" t="inlineStr">
        <is>
          <t>BMR</t>
        </is>
      </c>
      <c r="B16" s="17">
        <f>10*$B$14+6.25*$B$15-5*$B$6+IF($B$5="M",5,-161)</f>
        <v/>
      </c>
    </row>
    <row r="17">
      <c r="A17" s="4" t="inlineStr">
        <is>
          <t>Activity multiplier</t>
        </is>
      </c>
      <c r="B17" s="18">
        <f>VLOOKUP($B$9,$E$4:$F$8,2,FALSE)</f>
        <v/>
      </c>
    </row>
    <row r="18">
      <c r="A18" s="4" t="inlineStr">
        <is>
          <t>TDEE</t>
        </is>
      </c>
      <c r="B18" s="17">
        <f>$B$16*$B$17</f>
        <v/>
      </c>
    </row>
    <row r="19">
      <c r="A19" s="4" t="inlineStr">
        <is>
          <t>Goal adjustment</t>
        </is>
      </c>
      <c r="B19" s="19">
        <f>VLOOKUP($B$10,$E$11:$F$13,2,FALSE)</f>
        <v/>
      </c>
    </row>
    <row r="21">
      <c r="A21" s="2" t="inlineStr">
        <is>
          <t>YOUR DAILY TARGETS</t>
        </is>
      </c>
      <c r="B21" s="3" t="n"/>
      <c r="C21" s="3" t="n"/>
    </row>
    <row r="22">
      <c r="A22" s="4" t="inlineStr">
        <is>
          <t>Calories (kcal)</t>
        </is>
      </c>
      <c r="B22" s="20">
        <f>ROUND($B$18*(1+$B$19),0)</f>
        <v/>
      </c>
    </row>
    <row r="23">
      <c r="A23" s="4" t="inlineStr">
        <is>
          <t>Protein (g)</t>
        </is>
      </c>
      <c r="B23" s="20">
        <f>ROUND($B$14*$B$11,0)</f>
        <v/>
      </c>
    </row>
    <row r="24">
      <c r="A24" s="4" t="inlineStr">
        <is>
          <t>Fat (g)</t>
        </is>
      </c>
      <c r="B24" s="20">
        <f>ROUND($B$14*0.9,0)</f>
        <v/>
      </c>
    </row>
    <row r="25">
      <c r="A25" s="4" t="inlineStr">
        <is>
          <t>Carbs (g)</t>
        </is>
      </c>
      <c r="B25" s="20">
        <f>ROUND(($B$22-$B$23*4-$B$24*9)/4,0)</f>
        <v/>
      </c>
    </row>
  </sheetData>
  <mergeCells count="1">
    <mergeCell ref="A1:F1"/>
  </mergeCells>
  <dataValidations count="5">
    <dataValidation sqref="B4" showDropDown="0" showInputMessage="0" showErrorMessage="0" allowBlank="0" type="list">
      <formula1>"Metric,Imperial"</formula1>
    </dataValidation>
    <dataValidation sqref="B5" showDropDown="0" showInputMessage="0" showErrorMessage="0" allowBlank="0" type="list">
      <formula1>"M,F"</formula1>
    </dataValidation>
    <dataValidation sqref="B9" showDropDown="0" showInputMessage="0" showErrorMessage="0" allowBlank="0" type="list">
      <formula1>=$E$4:$E$8</formula1>
    </dataValidation>
    <dataValidation sqref="B10" showDropDown="0" showInputMessage="0" showErrorMessage="0" allowBlank="0" type="list">
      <formula1>=$E$11:$E$13</formula1>
    </dataValidation>
    <dataValidation sqref="B11" showDropDown="0" showInputMessage="0" showErrorMessage="0" allowBlank="0" type="list">
      <formula1>"1.6,1.8,2.0,2.2"</formula1>
    </dataValidation>
  </dataValidations>
  <pageMargins left="0.4" right="0.4" top="0.5" bottom="0.5" header="0.5" footer="0.5"/>
  <pageSetup fitToHeight="1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3" customWidth="1" min="4" max="4"/>
    <col width="16" customWidth="1" min="5" max="5"/>
    <col width="40" customWidth="1" min="7" max="7"/>
  </cols>
  <sheetData>
    <row r="1" ht="30" customHeight="1">
      <c r="A1" s="1" t="inlineStr">
        <is>
          <t>WEIGHT LOG — same scale, every morning</t>
        </is>
      </c>
    </row>
    <row r="3">
      <c r="A3" s="21" t="inlineStr">
        <is>
          <t>Date</t>
        </is>
      </c>
      <c r="B3" s="21" t="inlineStr">
        <is>
          <t>Weight</t>
        </is>
      </c>
      <c r="C3" s="21" t="inlineStr">
        <is>
          <t>Trend (7-day avg)</t>
        </is>
      </c>
      <c r="D3" s="21" t="inlineStr">
        <is>
          <t>Change / week</t>
        </is>
      </c>
      <c r="E3" s="21" t="inlineStr">
        <is>
          <t>% bodyweight / wk</t>
        </is>
      </c>
    </row>
    <row r="4">
      <c r="A4" s="22" t="n">
        <v>46167</v>
      </c>
      <c r="B4" s="23" t="n">
        <v>80</v>
      </c>
      <c r="C4" s="24">
        <f>IF($B4="","",IF(COUNT($B$4:$B4)&lt;3,"",AVERAGE($B$4:$B4)))</f>
        <v/>
      </c>
      <c r="D4" s="25" t="n"/>
      <c r="E4" s="26" t="n"/>
      <c r="G4" s="6" t="inlineStr">
        <is>
          <t>Sample data in blue — replace with yours (see Guide).</t>
        </is>
      </c>
    </row>
    <row r="5">
      <c r="A5" s="22" t="n">
        <v>46168</v>
      </c>
      <c r="B5" s="23" t="n">
        <v>80.3</v>
      </c>
      <c r="C5" s="24">
        <f>IF($B5="","",IF(COUNT($B$4:$B5)&lt;3,"",AVERAGE($B$4:$B5)))</f>
        <v/>
      </c>
      <c r="D5" s="25" t="n"/>
      <c r="E5" s="26" t="n"/>
    </row>
    <row r="6">
      <c r="A6" s="22" t="n">
        <v>46169</v>
      </c>
      <c r="B6" s="23" t="n">
        <v>79.90000000000001</v>
      </c>
      <c r="C6" s="24">
        <f>IF($B6="","",IF(COUNT($B$4:$B6)&lt;3,"",AVERAGE($B$4:$B6)))</f>
        <v/>
      </c>
      <c r="D6" s="25" t="n"/>
      <c r="E6" s="26" t="n"/>
    </row>
    <row r="7">
      <c r="A7" s="22" t="n">
        <v>46170</v>
      </c>
      <c r="B7" s="23" t="n">
        <v>80.09999999999999</v>
      </c>
      <c r="C7" s="24">
        <f>IF($B7="","",IF(COUNT($B$4:$B7)&lt;3,"",AVERAGE($B$4:$B7)))</f>
        <v/>
      </c>
      <c r="D7" s="25" t="n"/>
      <c r="E7" s="26" t="n"/>
    </row>
    <row r="8">
      <c r="A8" s="22" t="n">
        <v>46171</v>
      </c>
      <c r="B8" s="23" t="n">
        <v>79.8</v>
      </c>
      <c r="C8" s="24">
        <f>IF($B8="","",IF(COUNT($B$4:$B8)&lt;3,"",AVERAGE($B$4:$B8)))</f>
        <v/>
      </c>
      <c r="D8" s="25" t="n"/>
      <c r="E8" s="26" t="n"/>
    </row>
    <row r="9">
      <c r="A9" s="22" t="n">
        <v>46172</v>
      </c>
      <c r="B9" s="23" t="n">
        <v>79.90000000000001</v>
      </c>
      <c r="C9" s="24">
        <f>IF($B9="","",IF(COUNT($B$4:$B9)&lt;3,"",AVERAGE($B$4:$B9)))</f>
        <v/>
      </c>
      <c r="D9" s="25" t="n"/>
      <c r="E9" s="26" t="n"/>
    </row>
    <row r="10">
      <c r="A10" s="22" t="n">
        <v>46173</v>
      </c>
      <c r="B10" s="23" t="n">
        <v>79.59999999999999</v>
      </c>
      <c r="C10" s="24">
        <f>IF($B10="","",IF(COUNT($B$4:$B10)&lt;3,"",AVERAGE($B4:$B10)))</f>
        <v/>
      </c>
      <c r="D10" s="25" t="n"/>
      <c r="E10" s="26" t="n"/>
    </row>
    <row r="11">
      <c r="A11" s="22" t="n">
        <v>46174</v>
      </c>
      <c r="B11" s="23" t="n">
        <v>79.8</v>
      </c>
      <c r="C11" s="24">
        <f>IF($B11="","",IF(COUNT($B$4:$B11)&lt;3,"",AVERAGE($B5:$B11)))</f>
        <v/>
      </c>
      <c r="D11" s="25">
        <f>IF(OR($C11="",$C4=""),"",$C11-$C4)</f>
        <v/>
      </c>
      <c r="E11" s="26">
        <f>IF($D11="","",$D11/$C11)</f>
        <v/>
      </c>
    </row>
    <row r="12">
      <c r="A12" s="22" t="n">
        <v>46175</v>
      </c>
      <c r="B12" s="23" t="n">
        <v>79.5</v>
      </c>
      <c r="C12" s="24">
        <f>IF($B12="","",IF(COUNT($B$4:$B12)&lt;3,"",AVERAGE($B6:$B12)))</f>
        <v/>
      </c>
      <c r="D12" s="25">
        <f>IF(OR($C12="",$C5=""),"",$C12-$C5)</f>
        <v/>
      </c>
      <c r="E12" s="26">
        <f>IF($D12="","",$D12/$C12)</f>
        <v/>
      </c>
    </row>
    <row r="13">
      <c r="A13" s="22" t="n">
        <v>46176</v>
      </c>
      <c r="B13" s="23" t="n">
        <v>79.7</v>
      </c>
      <c r="C13" s="24">
        <f>IF($B13="","",IF(COUNT($B$4:$B13)&lt;3,"",AVERAGE($B7:$B13)))</f>
        <v/>
      </c>
      <c r="D13" s="25">
        <f>IF(OR($C13="",$C6=""),"",$C13-$C6)</f>
        <v/>
      </c>
      <c r="E13" s="26">
        <f>IF($D13="","",$D13/$C13)</f>
        <v/>
      </c>
    </row>
    <row r="14">
      <c r="A14" s="22" t="n">
        <v>46177</v>
      </c>
      <c r="B14" s="23" t="n">
        <v>79.40000000000001</v>
      </c>
      <c r="C14" s="24">
        <f>IF($B14="","",IF(COUNT($B$4:$B14)&lt;3,"",AVERAGE($B8:$B14)))</f>
        <v/>
      </c>
      <c r="D14" s="25">
        <f>IF(OR($C14="",$C7=""),"",$C14-$C7)</f>
        <v/>
      </c>
      <c r="E14" s="26">
        <f>IF($D14="","",$D14/$C14)</f>
        <v/>
      </c>
    </row>
    <row r="15">
      <c r="A15" s="22" t="n">
        <v>46178</v>
      </c>
      <c r="B15" s="23" t="n">
        <v>79.2</v>
      </c>
      <c r="C15" s="24">
        <f>IF($B15="","",IF(COUNT($B$4:$B15)&lt;3,"",AVERAGE($B9:$B15)))</f>
        <v/>
      </c>
      <c r="D15" s="25">
        <f>IF(OR($C15="",$C8=""),"",$C15-$C8)</f>
        <v/>
      </c>
      <c r="E15" s="26">
        <f>IF($D15="","",$D15/$C15)</f>
        <v/>
      </c>
    </row>
    <row r="16">
      <c r="A16" s="22" t="n">
        <v>46179</v>
      </c>
      <c r="B16" s="23" t="n">
        <v>79.5</v>
      </c>
      <c r="C16" s="24">
        <f>IF($B16="","",IF(COUNT($B$4:$B16)&lt;3,"",AVERAGE($B10:$B16)))</f>
        <v/>
      </c>
      <c r="D16" s="25">
        <f>IF(OR($C16="",$C9=""),"",$C16-$C9)</f>
        <v/>
      </c>
      <c r="E16" s="26">
        <f>IF($D16="","",$D16/$C16)</f>
        <v/>
      </c>
    </row>
    <row r="17">
      <c r="A17" s="22" t="n">
        <v>46180</v>
      </c>
      <c r="B17" s="23" t="n">
        <v>79.09999999999999</v>
      </c>
      <c r="C17" s="24">
        <f>IF($B17="","",IF(COUNT($B$4:$B17)&lt;3,"",AVERAGE($B11:$B17)))</f>
        <v/>
      </c>
      <c r="D17" s="25">
        <f>IF(OR($C17="",$C10=""),"",$C17-$C10)</f>
        <v/>
      </c>
      <c r="E17" s="26">
        <f>IF($D17="","",$D17/$C17)</f>
        <v/>
      </c>
    </row>
    <row r="18">
      <c r="A18" s="22" t="n"/>
      <c r="B18" s="27" t="n"/>
      <c r="C18" s="24">
        <f>IF($B18="","",IF(COUNT($B$4:$B18)&lt;3,"",AVERAGE($B12:$B18)))</f>
        <v/>
      </c>
      <c r="D18" s="25">
        <f>IF(OR($C18="",$C11=""),"",$C18-$C11)</f>
        <v/>
      </c>
      <c r="E18" s="26">
        <f>IF($D18="","",$D18/$C18)</f>
        <v/>
      </c>
    </row>
    <row r="19">
      <c r="A19" s="22" t="n"/>
      <c r="B19" s="27" t="n"/>
      <c r="C19" s="24">
        <f>IF($B19="","",IF(COUNT($B$4:$B19)&lt;3,"",AVERAGE($B13:$B19)))</f>
        <v/>
      </c>
      <c r="D19" s="25">
        <f>IF(OR($C19="",$C12=""),"",$C19-$C12)</f>
        <v/>
      </c>
      <c r="E19" s="26">
        <f>IF($D19="","",$D19/$C19)</f>
        <v/>
      </c>
    </row>
    <row r="20">
      <c r="A20" s="22" t="n"/>
      <c r="B20" s="27" t="n"/>
      <c r="C20" s="24">
        <f>IF($B20="","",IF(COUNT($B$4:$B20)&lt;3,"",AVERAGE($B14:$B20)))</f>
        <v/>
      </c>
      <c r="D20" s="25">
        <f>IF(OR($C20="",$C13=""),"",$C20-$C13)</f>
        <v/>
      </c>
      <c r="E20" s="26">
        <f>IF($D20="","",$D20/$C20)</f>
        <v/>
      </c>
    </row>
    <row r="21">
      <c r="A21" s="22" t="n"/>
      <c r="B21" s="27" t="n"/>
      <c r="C21" s="24">
        <f>IF($B21="","",IF(COUNT($B$4:$B21)&lt;3,"",AVERAGE($B15:$B21)))</f>
        <v/>
      </c>
      <c r="D21" s="25">
        <f>IF(OR($C21="",$C14=""),"",$C21-$C14)</f>
        <v/>
      </c>
      <c r="E21" s="26">
        <f>IF($D21="","",$D21/$C21)</f>
        <v/>
      </c>
    </row>
    <row r="22">
      <c r="A22" s="22" t="n"/>
      <c r="B22" s="27" t="n"/>
      <c r="C22" s="24">
        <f>IF($B22="","",IF(COUNT($B$4:$B22)&lt;3,"",AVERAGE($B16:$B22)))</f>
        <v/>
      </c>
      <c r="D22" s="25">
        <f>IF(OR($C22="",$C15=""),"",$C22-$C15)</f>
        <v/>
      </c>
      <c r="E22" s="26">
        <f>IF($D22="","",$D22/$C22)</f>
        <v/>
      </c>
    </row>
    <row r="23">
      <c r="A23" s="22" t="n"/>
      <c r="B23" s="27" t="n"/>
      <c r="C23" s="24">
        <f>IF($B23="","",IF(COUNT($B$4:$B23)&lt;3,"",AVERAGE($B17:$B23)))</f>
        <v/>
      </c>
      <c r="D23" s="25">
        <f>IF(OR($C23="",$C16=""),"",$C23-$C16)</f>
        <v/>
      </c>
      <c r="E23" s="26">
        <f>IF($D23="","",$D23/$C23)</f>
        <v/>
      </c>
    </row>
    <row r="24">
      <c r="A24" s="22" t="n"/>
      <c r="B24" s="27" t="n"/>
      <c r="C24" s="24">
        <f>IF($B24="","",IF(COUNT($B$4:$B24)&lt;3,"",AVERAGE($B18:$B24)))</f>
        <v/>
      </c>
      <c r="D24" s="25">
        <f>IF(OR($C24="",$C17=""),"",$C24-$C17)</f>
        <v/>
      </c>
      <c r="E24" s="26">
        <f>IF($D24="","",$D24/$C24)</f>
        <v/>
      </c>
    </row>
    <row r="25">
      <c r="A25" s="22" t="n"/>
      <c r="B25" s="27" t="n"/>
      <c r="C25" s="24">
        <f>IF($B25="","",IF(COUNT($B$4:$B25)&lt;3,"",AVERAGE($B19:$B25)))</f>
        <v/>
      </c>
      <c r="D25" s="25">
        <f>IF(OR($C25="",$C18=""),"",$C25-$C18)</f>
        <v/>
      </c>
      <c r="E25" s="26">
        <f>IF($D25="","",$D25/$C25)</f>
        <v/>
      </c>
    </row>
    <row r="26">
      <c r="A26" s="22" t="n"/>
      <c r="B26" s="27" t="n"/>
      <c r="C26" s="24">
        <f>IF($B26="","",IF(COUNT($B$4:$B26)&lt;3,"",AVERAGE($B20:$B26)))</f>
        <v/>
      </c>
      <c r="D26" s="25">
        <f>IF(OR($C26="",$C19=""),"",$C26-$C19)</f>
        <v/>
      </c>
      <c r="E26" s="26">
        <f>IF($D26="","",$D26/$C26)</f>
        <v/>
      </c>
    </row>
    <row r="27">
      <c r="A27" s="22" t="n"/>
      <c r="B27" s="27" t="n"/>
      <c r="C27" s="24">
        <f>IF($B27="","",IF(COUNT($B$4:$B27)&lt;3,"",AVERAGE($B21:$B27)))</f>
        <v/>
      </c>
      <c r="D27" s="25">
        <f>IF(OR($C27="",$C20=""),"",$C27-$C20)</f>
        <v/>
      </c>
      <c r="E27" s="26">
        <f>IF($D27="","",$D27/$C27)</f>
        <v/>
      </c>
    </row>
    <row r="28">
      <c r="A28" s="22" t="n"/>
      <c r="B28" s="27" t="n"/>
      <c r="C28" s="24">
        <f>IF($B28="","",IF(COUNT($B$4:$B28)&lt;3,"",AVERAGE($B22:$B28)))</f>
        <v/>
      </c>
      <c r="D28" s="25">
        <f>IF(OR($C28="",$C21=""),"",$C28-$C21)</f>
        <v/>
      </c>
      <c r="E28" s="26">
        <f>IF($D28="","",$D28/$C28)</f>
        <v/>
      </c>
    </row>
    <row r="29">
      <c r="A29" s="22" t="n"/>
      <c r="B29" s="27" t="n"/>
      <c r="C29" s="24">
        <f>IF($B29="","",IF(COUNT($B$4:$B29)&lt;3,"",AVERAGE($B23:$B29)))</f>
        <v/>
      </c>
      <c r="D29" s="25">
        <f>IF(OR($C29="",$C22=""),"",$C29-$C22)</f>
        <v/>
      </c>
      <c r="E29" s="26">
        <f>IF($D29="","",$D29/$C29)</f>
        <v/>
      </c>
    </row>
    <row r="30">
      <c r="A30" s="22" t="n"/>
      <c r="B30" s="27" t="n"/>
      <c r="C30" s="24">
        <f>IF($B30="","",IF(COUNT($B$4:$B30)&lt;3,"",AVERAGE($B24:$B30)))</f>
        <v/>
      </c>
      <c r="D30" s="25">
        <f>IF(OR($C30="",$C23=""),"",$C30-$C23)</f>
        <v/>
      </c>
      <c r="E30" s="26">
        <f>IF($D30="","",$D30/$C30)</f>
        <v/>
      </c>
    </row>
    <row r="31">
      <c r="A31" s="22" t="n"/>
      <c r="B31" s="27" t="n"/>
      <c r="C31" s="24">
        <f>IF($B31="","",IF(COUNT($B$4:$B31)&lt;3,"",AVERAGE($B25:$B31)))</f>
        <v/>
      </c>
      <c r="D31" s="25">
        <f>IF(OR($C31="",$C24=""),"",$C31-$C24)</f>
        <v/>
      </c>
      <c r="E31" s="26">
        <f>IF($D31="","",$D31/$C31)</f>
        <v/>
      </c>
    </row>
    <row r="32">
      <c r="A32" s="22" t="n"/>
      <c r="B32" s="27" t="n"/>
      <c r="C32" s="24">
        <f>IF($B32="","",IF(COUNT($B$4:$B32)&lt;3,"",AVERAGE($B26:$B32)))</f>
        <v/>
      </c>
      <c r="D32" s="25">
        <f>IF(OR($C32="",$C25=""),"",$C32-$C25)</f>
        <v/>
      </c>
      <c r="E32" s="26">
        <f>IF($D32="","",$D32/$C32)</f>
        <v/>
      </c>
    </row>
    <row r="33">
      <c r="A33" s="22" t="n"/>
      <c r="B33" s="27" t="n"/>
      <c r="C33" s="24">
        <f>IF($B33="","",IF(COUNT($B$4:$B33)&lt;3,"",AVERAGE($B27:$B33)))</f>
        <v/>
      </c>
      <c r="D33" s="25">
        <f>IF(OR($C33="",$C26=""),"",$C33-$C26)</f>
        <v/>
      </c>
      <c r="E33" s="26">
        <f>IF($D33="","",$D33/$C33)</f>
        <v/>
      </c>
    </row>
    <row r="34">
      <c r="A34" s="22" t="n"/>
      <c r="B34" s="27" t="n"/>
      <c r="C34" s="24">
        <f>IF($B34="","",IF(COUNT($B$4:$B34)&lt;3,"",AVERAGE($B28:$B34)))</f>
        <v/>
      </c>
      <c r="D34" s="25">
        <f>IF(OR($C34="",$C27=""),"",$C34-$C27)</f>
        <v/>
      </c>
      <c r="E34" s="26">
        <f>IF($D34="","",$D34/$C34)</f>
        <v/>
      </c>
    </row>
    <row r="35">
      <c r="A35" s="22" t="n"/>
      <c r="B35" s="27" t="n"/>
      <c r="C35" s="24">
        <f>IF($B35="","",IF(COUNT($B$4:$B35)&lt;3,"",AVERAGE($B29:$B35)))</f>
        <v/>
      </c>
      <c r="D35" s="25">
        <f>IF(OR($C35="",$C28=""),"",$C35-$C28)</f>
        <v/>
      </c>
      <c r="E35" s="26">
        <f>IF($D35="","",$D35/$C35)</f>
        <v/>
      </c>
    </row>
    <row r="36">
      <c r="A36" s="22" t="n"/>
      <c r="B36" s="27" t="n"/>
      <c r="C36" s="24">
        <f>IF($B36="","",IF(COUNT($B$4:$B36)&lt;3,"",AVERAGE($B30:$B36)))</f>
        <v/>
      </c>
      <c r="D36" s="25">
        <f>IF(OR($C36="",$C29=""),"",$C36-$C29)</f>
        <v/>
      </c>
      <c r="E36" s="26">
        <f>IF($D36="","",$D36/$C36)</f>
        <v/>
      </c>
    </row>
    <row r="37">
      <c r="A37" s="22" t="n"/>
      <c r="B37" s="27" t="n"/>
      <c r="C37" s="24">
        <f>IF($B37="","",IF(COUNT($B$4:$B37)&lt;3,"",AVERAGE($B31:$B37)))</f>
        <v/>
      </c>
      <c r="D37" s="25">
        <f>IF(OR($C37="",$C30=""),"",$C37-$C30)</f>
        <v/>
      </c>
      <c r="E37" s="26">
        <f>IF($D37="","",$D37/$C37)</f>
        <v/>
      </c>
    </row>
    <row r="38">
      <c r="A38" s="22" t="n"/>
      <c r="B38" s="27" t="n"/>
      <c r="C38" s="24">
        <f>IF($B38="","",IF(COUNT($B$4:$B38)&lt;3,"",AVERAGE($B32:$B38)))</f>
        <v/>
      </c>
      <c r="D38" s="25">
        <f>IF(OR($C38="",$C31=""),"",$C38-$C31)</f>
        <v/>
      </c>
      <c r="E38" s="26">
        <f>IF($D38="","",$D38/$C38)</f>
        <v/>
      </c>
    </row>
    <row r="39">
      <c r="A39" s="22" t="n"/>
      <c r="B39" s="27" t="n"/>
      <c r="C39" s="24">
        <f>IF($B39="","",IF(COUNT($B$4:$B39)&lt;3,"",AVERAGE($B33:$B39)))</f>
        <v/>
      </c>
      <c r="D39" s="25">
        <f>IF(OR($C39="",$C32=""),"",$C39-$C32)</f>
        <v/>
      </c>
      <c r="E39" s="26">
        <f>IF($D39="","",$D39/$C39)</f>
        <v/>
      </c>
    </row>
    <row r="40">
      <c r="A40" s="22" t="n"/>
      <c r="B40" s="27" t="n"/>
      <c r="C40" s="24">
        <f>IF($B40="","",IF(COUNT($B$4:$B40)&lt;3,"",AVERAGE($B34:$B40)))</f>
        <v/>
      </c>
      <c r="D40" s="25">
        <f>IF(OR($C40="",$C33=""),"",$C40-$C33)</f>
        <v/>
      </c>
      <c r="E40" s="26">
        <f>IF($D40="","",$D40/$C40)</f>
        <v/>
      </c>
    </row>
    <row r="41">
      <c r="A41" s="22" t="n"/>
      <c r="B41" s="27" t="n"/>
      <c r="C41" s="24">
        <f>IF($B41="","",IF(COUNT($B$4:$B41)&lt;3,"",AVERAGE($B35:$B41)))</f>
        <v/>
      </c>
      <c r="D41" s="25">
        <f>IF(OR($C41="",$C34=""),"",$C41-$C34)</f>
        <v/>
      </c>
      <c r="E41" s="26">
        <f>IF($D41="","",$D41/$C41)</f>
        <v/>
      </c>
    </row>
    <row r="42">
      <c r="A42" s="22" t="n"/>
      <c r="B42" s="27" t="n"/>
      <c r="C42" s="24">
        <f>IF($B42="","",IF(COUNT($B$4:$B42)&lt;3,"",AVERAGE($B36:$B42)))</f>
        <v/>
      </c>
      <c r="D42" s="25">
        <f>IF(OR($C42="",$C35=""),"",$C42-$C35)</f>
        <v/>
      </c>
      <c r="E42" s="26">
        <f>IF($D42="","",$D42/$C42)</f>
        <v/>
      </c>
    </row>
    <row r="43">
      <c r="A43" s="22" t="n"/>
      <c r="B43" s="27" t="n"/>
      <c r="C43" s="24">
        <f>IF($B43="","",IF(COUNT($B$4:$B43)&lt;3,"",AVERAGE($B37:$B43)))</f>
        <v/>
      </c>
      <c r="D43" s="25">
        <f>IF(OR($C43="",$C36=""),"",$C43-$C36)</f>
        <v/>
      </c>
      <c r="E43" s="26">
        <f>IF($D43="","",$D43/$C43)</f>
        <v/>
      </c>
    </row>
    <row r="44">
      <c r="A44" s="22" t="n"/>
      <c r="B44" s="27" t="n"/>
      <c r="C44" s="24">
        <f>IF($B44="","",IF(COUNT($B$4:$B44)&lt;3,"",AVERAGE($B38:$B44)))</f>
        <v/>
      </c>
      <c r="D44" s="25">
        <f>IF(OR($C44="",$C37=""),"",$C44-$C37)</f>
        <v/>
      </c>
      <c r="E44" s="26">
        <f>IF($D44="","",$D44/$C44)</f>
        <v/>
      </c>
    </row>
    <row r="45">
      <c r="A45" s="22" t="n"/>
      <c r="B45" s="27" t="n"/>
      <c r="C45" s="24">
        <f>IF($B45="","",IF(COUNT($B$4:$B45)&lt;3,"",AVERAGE($B39:$B45)))</f>
        <v/>
      </c>
      <c r="D45" s="25">
        <f>IF(OR($C45="",$C38=""),"",$C45-$C38)</f>
        <v/>
      </c>
      <c r="E45" s="26">
        <f>IF($D45="","",$D45/$C45)</f>
        <v/>
      </c>
    </row>
    <row r="46">
      <c r="A46" s="22" t="n"/>
      <c r="B46" s="27" t="n"/>
      <c r="C46" s="24">
        <f>IF($B46="","",IF(COUNT($B$4:$B46)&lt;3,"",AVERAGE($B40:$B46)))</f>
        <v/>
      </c>
      <c r="D46" s="25">
        <f>IF(OR($C46="",$C39=""),"",$C46-$C39)</f>
        <v/>
      </c>
      <c r="E46" s="26">
        <f>IF($D46="","",$D46/$C46)</f>
        <v/>
      </c>
    </row>
    <row r="47">
      <c r="A47" s="22" t="n"/>
      <c r="B47" s="27" t="n"/>
      <c r="C47" s="24">
        <f>IF($B47="","",IF(COUNT($B$4:$B47)&lt;3,"",AVERAGE($B41:$B47)))</f>
        <v/>
      </c>
      <c r="D47" s="25">
        <f>IF(OR($C47="",$C40=""),"",$C47-$C40)</f>
        <v/>
      </c>
      <c r="E47" s="26">
        <f>IF($D47="","",$D47/$C47)</f>
        <v/>
      </c>
    </row>
    <row r="48">
      <c r="A48" s="22" t="n"/>
      <c r="B48" s="27" t="n"/>
      <c r="C48" s="24">
        <f>IF($B48="","",IF(COUNT($B$4:$B48)&lt;3,"",AVERAGE($B42:$B48)))</f>
        <v/>
      </c>
      <c r="D48" s="25">
        <f>IF(OR($C48="",$C41=""),"",$C48-$C41)</f>
        <v/>
      </c>
      <c r="E48" s="26">
        <f>IF($D48="","",$D48/$C48)</f>
        <v/>
      </c>
    </row>
    <row r="49">
      <c r="A49" s="22" t="n"/>
      <c r="B49" s="27" t="n"/>
      <c r="C49" s="24">
        <f>IF($B49="","",IF(COUNT($B$4:$B49)&lt;3,"",AVERAGE($B43:$B49)))</f>
        <v/>
      </c>
      <c r="D49" s="25">
        <f>IF(OR($C49="",$C42=""),"",$C49-$C42)</f>
        <v/>
      </c>
      <c r="E49" s="26">
        <f>IF($D49="","",$D49/$C49)</f>
        <v/>
      </c>
    </row>
    <row r="50">
      <c r="A50" s="22" t="n"/>
      <c r="B50" s="27" t="n"/>
      <c r="C50" s="24">
        <f>IF($B50="","",IF(COUNT($B$4:$B50)&lt;3,"",AVERAGE($B44:$B50)))</f>
        <v/>
      </c>
      <c r="D50" s="25">
        <f>IF(OR($C50="",$C43=""),"",$C50-$C43)</f>
        <v/>
      </c>
      <c r="E50" s="26">
        <f>IF($D50="","",$D50/$C50)</f>
        <v/>
      </c>
    </row>
    <row r="51">
      <c r="A51" s="22" t="n"/>
      <c r="B51" s="27" t="n"/>
      <c r="C51" s="24">
        <f>IF($B51="","",IF(COUNT($B$4:$B51)&lt;3,"",AVERAGE($B45:$B51)))</f>
        <v/>
      </c>
      <c r="D51" s="25">
        <f>IF(OR($C51="",$C44=""),"",$C51-$C44)</f>
        <v/>
      </c>
      <c r="E51" s="26">
        <f>IF($D51="","",$D51/$C51)</f>
        <v/>
      </c>
    </row>
    <row r="52">
      <c r="A52" s="22" t="n"/>
      <c r="B52" s="27" t="n"/>
      <c r="C52" s="24">
        <f>IF($B52="","",IF(COUNT($B$4:$B52)&lt;3,"",AVERAGE($B46:$B52)))</f>
        <v/>
      </c>
      <c r="D52" s="25">
        <f>IF(OR($C52="",$C45=""),"",$C52-$C45)</f>
        <v/>
      </c>
      <c r="E52" s="26">
        <f>IF($D52="","",$D52/$C52)</f>
        <v/>
      </c>
    </row>
    <row r="53">
      <c r="A53" s="22" t="n"/>
      <c r="B53" s="27" t="n"/>
      <c r="C53" s="24">
        <f>IF($B53="","",IF(COUNT($B$4:$B53)&lt;3,"",AVERAGE($B47:$B53)))</f>
        <v/>
      </c>
      <c r="D53" s="25">
        <f>IF(OR($C53="",$C46=""),"",$C53-$C46)</f>
        <v/>
      </c>
      <c r="E53" s="26">
        <f>IF($D53="","",$D53/$C53)</f>
        <v/>
      </c>
    </row>
    <row r="54">
      <c r="A54" s="22" t="n"/>
      <c r="B54" s="27" t="n"/>
      <c r="C54" s="24">
        <f>IF($B54="","",IF(COUNT($B$4:$B54)&lt;3,"",AVERAGE($B48:$B54)))</f>
        <v/>
      </c>
      <c r="D54" s="25">
        <f>IF(OR($C54="",$C47=""),"",$C54-$C47)</f>
        <v/>
      </c>
      <c r="E54" s="26">
        <f>IF($D54="","",$D54/$C54)</f>
        <v/>
      </c>
    </row>
    <row r="55">
      <c r="A55" s="22" t="n"/>
      <c r="B55" s="27" t="n"/>
      <c r="C55" s="24">
        <f>IF($B55="","",IF(COUNT($B$4:$B55)&lt;3,"",AVERAGE($B49:$B55)))</f>
        <v/>
      </c>
      <c r="D55" s="25">
        <f>IF(OR($C55="",$C48=""),"",$C55-$C48)</f>
        <v/>
      </c>
      <c r="E55" s="26">
        <f>IF($D55="","",$D55/$C55)</f>
        <v/>
      </c>
    </row>
    <row r="56">
      <c r="A56" s="22" t="n"/>
      <c r="B56" s="27" t="n"/>
      <c r="C56" s="24">
        <f>IF($B56="","",IF(COUNT($B$4:$B56)&lt;3,"",AVERAGE($B50:$B56)))</f>
        <v/>
      </c>
      <c r="D56" s="25">
        <f>IF(OR($C56="",$C49=""),"",$C56-$C49)</f>
        <v/>
      </c>
      <c r="E56" s="26">
        <f>IF($D56="","",$D56/$C56)</f>
        <v/>
      </c>
    </row>
    <row r="57">
      <c r="A57" s="22" t="n"/>
      <c r="B57" s="27" t="n"/>
      <c r="C57" s="24">
        <f>IF($B57="","",IF(COUNT($B$4:$B57)&lt;3,"",AVERAGE($B51:$B57)))</f>
        <v/>
      </c>
      <c r="D57" s="25">
        <f>IF(OR($C57="",$C50=""),"",$C57-$C50)</f>
        <v/>
      </c>
      <c r="E57" s="26">
        <f>IF($D57="","",$D57/$C57)</f>
        <v/>
      </c>
    </row>
    <row r="58">
      <c r="A58" s="22" t="n"/>
      <c r="B58" s="27" t="n"/>
      <c r="C58" s="24">
        <f>IF($B58="","",IF(COUNT($B$4:$B58)&lt;3,"",AVERAGE($B52:$B58)))</f>
        <v/>
      </c>
      <c r="D58" s="25">
        <f>IF(OR($C58="",$C51=""),"",$C58-$C51)</f>
        <v/>
      </c>
      <c r="E58" s="26">
        <f>IF($D58="","",$D58/$C58)</f>
        <v/>
      </c>
    </row>
    <row r="59">
      <c r="A59" s="22" t="n"/>
      <c r="B59" s="27" t="n"/>
      <c r="C59" s="24">
        <f>IF($B59="","",IF(COUNT($B$4:$B59)&lt;3,"",AVERAGE($B53:$B59)))</f>
        <v/>
      </c>
      <c r="D59" s="25">
        <f>IF(OR($C59="",$C52=""),"",$C59-$C52)</f>
        <v/>
      </c>
      <c r="E59" s="26">
        <f>IF($D59="","",$D59/$C59)</f>
        <v/>
      </c>
    </row>
    <row r="60">
      <c r="A60" s="22" t="n"/>
      <c r="B60" s="27" t="n"/>
      <c r="C60" s="24">
        <f>IF($B60="","",IF(COUNT($B$4:$B60)&lt;3,"",AVERAGE($B54:$B60)))</f>
        <v/>
      </c>
      <c r="D60" s="25">
        <f>IF(OR($C60="",$C53=""),"",$C60-$C53)</f>
        <v/>
      </c>
      <c r="E60" s="26">
        <f>IF($D60="","",$D60/$C60)</f>
        <v/>
      </c>
    </row>
    <row r="61">
      <c r="A61" s="22" t="n"/>
      <c r="B61" s="27" t="n"/>
      <c r="C61" s="24">
        <f>IF($B61="","",IF(COUNT($B$4:$B61)&lt;3,"",AVERAGE($B55:$B61)))</f>
        <v/>
      </c>
      <c r="D61" s="25">
        <f>IF(OR($C61="",$C54=""),"",$C61-$C54)</f>
        <v/>
      </c>
      <c r="E61" s="26">
        <f>IF($D61="","",$D61/$C61)</f>
        <v/>
      </c>
    </row>
    <row r="62">
      <c r="A62" s="22" t="n"/>
      <c r="B62" s="27" t="n"/>
      <c r="C62" s="24">
        <f>IF($B62="","",IF(COUNT($B$4:$B62)&lt;3,"",AVERAGE($B56:$B62)))</f>
        <v/>
      </c>
      <c r="D62" s="25">
        <f>IF(OR($C62="",$C55=""),"",$C62-$C55)</f>
        <v/>
      </c>
      <c r="E62" s="26">
        <f>IF($D62="","",$D62/$C62)</f>
        <v/>
      </c>
    </row>
    <row r="63">
      <c r="A63" s="22" t="n"/>
      <c r="B63" s="27" t="n"/>
      <c r="C63" s="24">
        <f>IF($B63="","",IF(COUNT($B$4:$B63)&lt;3,"",AVERAGE($B57:$B63)))</f>
        <v/>
      </c>
      <c r="D63" s="25">
        <f>IF(OR($C63="",$C56=""),"",$C63-$C56)</f>
        <v/>
      </c>
      <c r="E63" s="26">
        <f>IF($D63="","",$D63/$C63)</f>
        <v/>
      </c>
    </row>
    <row r="64">
      <c r="A64" s="22" t="n"/>
      <c r="B64" s="27" t="n"/>
      <c r="C64" s="24">
        <f>IF($B64="","",IF(COUNT($B$4:$B64)&lt;3,"",AVERAGE($B58:$B64)))</f>
        <v/>
      </c>
      <c r="D64" s="25">
        <f>IF(OR($C64="",$C57=""),"",$C64-$C57)</f>
        <v/>
      </c>
      <c r="E64" s="26">
        <f>IF($D64="","",$D64/$C64)</f>
        <v/>
      </c>
    </row>
    <row r="65">
      <c r="A65" s="22" t="n"/>
      <c r="B65" s="27" t="n"/>
      <c r="C65" s="24">
        <f>IF($B65="","",IF(COUNT($B$4:$B65)&lt;3,"",AVERAGE($B59:$B65)))</f>
        <v/>
      </c>
      <c r="D65" s="25">
        <f>IF(OR($C65="",$C58=""),"",$C65-$C58)</f>
        <v/>
      </c>
      <c r="E65" s="26">
        <f>IF($D65="","",$D65/$C65)</f>
        <v/>
      </c>
    </row>
    <row r="66">
      <c r="A66" s="22" t="n"/>
      <c r="B66" s="27" t="n"/>
      <c r="C66" s="24">
        <f>IF($B66="","",IF(COUNT($B$4:$B66)&lt;3,"",AVERAGE($B60:$B66)))</f>
        <v/>
      </c>
      <c r="D66" s="25">
        <f>IF(OR($C66="",$C59=""),"",$C66-$C59)</f>
        <v/>
      </c>
      <c r="E66" s="26">
        <f>IF($D66="","",$D66/$C66)</f>
        <v/>
      </c>
    </row>
    <row r="67">
      <c r="A67" s="22" t="n"/>
      <c r="B67" s="27" t="n"/>
      <c r="C67" s="24">
        <f>IF($B67="","",IF(COUNT($B$4:$B67)&lt;3,"",AVERAGE($B61:$B67)))</f>
        <v/>
      </c>
      <c r="D67" s="25">
        <f>IF(OR($C67="",$C60=""),"",$C67-$C60)</f>
        <v/>
      </c>
      <c r="E67" s="26">
        <f>IF($D67="","",$D67/$C67)</f>
        <v/>
      </c>
    </row>
    <row r="68">
      <c r="A68" s="22" t="n"/>
      <c r="B68" s="27" t="n"/>
      <c r="C68" s="24">
        <f>IF($B68="","",IF(COUNT($B$4:$B68)&lt;3,"",AVERAGE($B62:$B68)))</f>
        <v/>
      </c>
      <c r="D68" s="25">
        <f>IF(OR($C68="",$C61=""),"",$C68-$C61)</f>
        <v/>
      </c>
      <c r="E68" s="26">
        <f>IF($D68="","",$D68/$C68)</f>
        <v/>
      </c>
    </row>
    <row r="69">
      <c r="A69" s="22" t="n"/>
      <c r="B69" s="27" t="n"/>
      <c r="C69" s="24">
        <f>IF($B69="","",IF(COUNT($B$4:$B69)&lt;3,"",AVERAGE($B63:$B69)))</f>
        <v/>
      </c>
      <c r="D69" s="25">
        <f>IF(OR($C69="",$C62=""),"",$C69-$C62)</f>
        <v/>
      </c>
      <c r="E69" s="26">
        <f>IF($D69="","",$D69/$C69)</f>
        <v/>
      </c>
    </row>
    <row r="70">
      <c r="A70" s="22" t="n"/>
      <c r="B70" s="27" t="n"/>
      <c r="C70" s="24">
        <f>IF($B70="","",IF(COUNT($B$4:$B70)&lt;3,"",AVERAGE($B64:$B70)))</f>
        <v/>
      </c>
      <c r="D70" s="25">
        <f>IF(OR($C70="",$C63=""),"",$C70-$C63)</f>
        <v/>
      </c>
      <c r="E70" s="26">
        <f>IF($D70="","",$D70/$C70)</f>
        <v/>
      </c>
    </row>
    <row r="71">
      <c r="A71" s="22" t="n"/>
      <c r="B71" s="27" t="n"/>
      <c r="C71" s="24">
        <f>IF($B71="","",IF(COUNT($B$4:$B71)&lt;3,"",AVERAGE($B65:$B71)))</f>
        <v/>
      </c>
      <c r="D71" s="25">
        <f>IF(OR($C71="",$C64=""),"",$C71-$C64)</f>
        <v/>
      </c>
      <c r="E71" s="26">
        <f>IF($D71="","",$D71/$C71)</f>
        <v/>
      </c>
    </row>
    <row r="72">
      <c r="A72" s="22" t="n"/>
      <c r="B72" s="27" t="n"/>
      <c r="C72" s="24">
        <f>IF($B72="","",IF(COUNT($B$4:$B72)&lt;3,"",AVERAGE($B66:$B72)))</f>
        <v/>
      </c>
      <c r="D72" s="25">
        <f>IF(OR($C72="",$C65=""),"",$C72-$C65)</f>
        <v/>
      </c>
      <c r="E72" s="26">
        <f>IF($D72="","",$D72/$C72)</f>
        <v/>
      </c>
    </row>
    <row r="73">
      <c r="A73" s="22" t="n"/>
      <c r="B73" s="27" t="n"/>
      <c r="C73" s="24">
        <f>IF($B73="","",IF(COUNT($B$4:$B73)&lt;3,"",AVERAGE($B67:$B73)))</f>
        <v/>
      </c>
      <c r="D73" s="25">
        <f>IF(OR($C73="",$C66=""),"",$C73-$C66)</f>
        <v/>
      </c>
      <c r="E73" s="26">
        <f>IF($D73="","",$D73/$C73)</f>
        <v/>
      </c>
    </row>
    <row r="74">
      <c r="A74" s="22" t="n"/>
      <c r="B74" s="27" t="n"/>
      <c r="C74" s="24">
        <f>IF($B74="","",IF(COUNT($B$4:$B74)&lt;3,"",AVERAGE($B68:$B74)))</f>
        <v/>
      </c>
      <c r="D74" s="25">
        <f>IF(OR($C74="",$C67=""),"",$C74-$C67)</f>
        <v/>
      </c>
      <c r="E74" s="26">
        <f>IF($D74="","",$D74/$C74)</f>
        <v/>
      </c>
    </row>
    <row r="75">
      <c r="A75" s="22" t="n"/>
      <c r="B75" s="27" t="n"/>
      <c r="C75" s="24">
        <f>IF($B75="","",IF(COUNT($B$4:$B75)&lt;3,"",AVERAGE($B69:$B75)))</f>
        <v/>
      </c>
      <c r="D75" s="25">
        <f>IF(OR($C75="",$C68=""),"",$C75-$C68)</f>
        <v/>
      </c>
      <c r="E75" s="26">
        <f>IF($D75="","",$D75/$C75)</f>
        <v/>
      </c>
    </row>
    <row r="76">
      <c r="A76" s="22" t="n"/>
      <c r="B76" s="27" t="n"/>
      <c r="C76" s="24">
        <f>IF($B76="","",IF(COUNT($B$4:$B76)&lt;3,"",AVERAGE($B70:$B76)))</f>
        <v/>
      </c>
      <c r="D76" s="25">
        <f>IF(OR($C76="",$C69=""),"",$C76-$C69)</f>
        <v/>
      </c>
      <c r="E76" s="26">
        <f>IF($D76="","",$D76/$C76)</f>
        <v/>
      </c>
    </row>
    <row r="77">
      <c r="A77" s="22" t="n"/>
      <c r="B77" s="27" t="n"/>
      <c r="C77" s="24">
        <f>IF($B77="","",IF(COUNT($B$4:$B77)&lt;3,"",AVERAGE($B71:$B77)))</f>
        <v/>
      </c>
      <c r="D77" s="25">
        <f>IF(OR($C77="",$C70=""),"",$C77-$C70)</f>
        <v/>
      </c>
      <c r="E77" s="26">
        <f>IF($D77="","",$D77/$C77)</f>
        <v/>
      </c>
    </row>
    <row r="78">
      <c r="A78" s="22" t="n"/>
      <c r="B78" s="27" t="n"/>
      <c r="C78" s="24">
        <f>IF($B78="","",IF(COUNT($B$4:$B78)&lt;3,"",AVERAGE($B72:$B78)))</f>
        <v/>
      </c>
      <c r="D78" s="25">
        <f>IF(OR($C78="",$C71=""),"",$C78-$C71)</f>
        <v/>
      </c>
      <c r="E78" s="26">
        <f>IF($D78="","",$D78/$C78)</f>
        <v/>
      </c>
    </row>
    <row r="79">
      <c r="A79" s="22" t="n"/>
      <c r="B79" s="27" t="n"/>
      <c r="C79" s="24">
        <f>IF($B79="","",IF(COUNT($B$4:$B79)&lt;3,"",AVERAGE($B73:$B79)))</f>
        <v/>
      </c>
      <c r="D79" s="25">
        <f>IF(OR($C79="",$C72=""),"",$C79-$C72)</f>
        <v/>
      </c>
      <c r="E79" s="26">
        <f>IF($D79="","",$D79/$C79)</f>
        <v/>
      </c>
    </row>
    <row r="80">
      <c r="A80" s="22" t="n"/>
      <c r="B80" s="27" t="n"/>
      <c r="C80" s="24">
        <f>IF($B80="","",IF(COUNT($B$4:$B80)&lt;3,"",AVERAGE($B74:$B80)))</f>
        <v/>
      </c>
      <c r="D80" s="25">
        <f>IF(OR($C80="",$C73=""),"",$C80-$C73)</f>
        <v/>
      </c>
      <c r="E80" s="26">
        <f>IF($D80="","",$D80/$C80)</f>
        <v/>
      </c>
    </row>
    <row r="81">
      <c r="A81" s="22" t="n"/>
      <c r="B81" s="27" t="n"/>
      <c r="C81" s="24">
        <f>IF($B81="","",IF(COUNT($B$4:$B81)&lt;3,"",AVERAGE($B75:$B81)))</f>
        <v/>
      </c>
      <c r="D81" s="25">
        <f>IF(OR($C81="",$C74=""),"",$C81-$C74)</f>
        <v/>
      </c>
      <c r="E81" s="26">
        <f>IF($D81="","",$D81/$C81)</f>
        <v/>
      </c>
    </row>
    <row r="82">
      <c r="A82" s="22" t="n"/>
      <c r="B82" s="27" t="n"/>
      <c r="C82" s="24">
        <f>IF($B82="","",IF(COUNT($B$4:$B82)&lt;3,"",AVERAGE($B76:$B82)))</f>
        <v/>
      </c>
      <c r="D82" s="25">
        <f>IF(OR($C82="",$C75=""),"",$C82-$C75)</f>
        <v/>
      </c>
      <c r="E82" s="26">
        <f>IF($D82="","",$D82/$C82)</f>
        <v/>
      </c>
    </row>
    <row r="83">
      <c r="A83" s="22" t="n"/>
      <c r="B83" s="27" t="n"/>
      <c r="C83" s="24">
        <f>IF($B83="","",IF(COUNT($B$4:$B83)&lt;3,"",AVERAGE($B77:$B83)))</f>
        <v/>
      </c>
      <c r="D83" s="25">
        <f>IF(OR($C83="",$C76=""),"",$C83-$C76)</f>
        <v/>
      </c>
      <c r="E83" s="26">
        <f>IF($D83="","",$D83/$C83)</f>
        <v/>
      </c>
    </row>
    <row r="84">
      <c r="A84" s="22" t="n"/>
      <c r="B84" s="27" t="n"/>
      <c r="C84" s="24">
        <f>IF($B84="","",IF(COUNT($B$4:$B84)&lt;3,"",AVERAGE($B78:$B84)))</f>
        <v/>
      </c>
      <c r="D84" s="25">
        <f>IF(OR($C84="",$C77=""),"",$C84-$C77)</f>
        <v/>
      </c>
      <c r="E84" s="26">
        <f>IF($D84="","",$D84/$C84)</f>
        <v/>
      </c>
    </row>
    <row r="85">
      <c r="A85" s="22" t="n"/>
      <c r="B85" s="27" t="n"/>
      <c r="C85" s="24">
        <f>IF($B85="","",IF(COUNT($B$4:$B85)&lt;3,"",AVERAGE($B79:$B85)))</f>
        <v/>
      </c>
      <c r="D85" s="25">
        <f>IF(OR($C85="",$C78=""),"",$C85-$C78)</f>
        <v/>
      </c>
      <c r="E85" s="26">
        <f>IF($D85="","",$D85/$C85)</f>
        <v/>
      </c>
    </row>
    <row r="86">
      <c r="A86" s="22" t="n"/>
      <c r="B86" s="27" t="n"/>
      <c r="C86" s="24">
        <f>IF($B86="","",IF(COUNT($B$4:$B86)&lt;3,"",AVERAGE($B80:$B86)))</f>
        <v/>
      </c>
      <c r="D86" s="25">
        <f>IF(OR($C86="",$C79=""),"",$C86-$C79)</f>
        <v/>
      </c>
      <c r="E86" s="26">
        <f>IF($D86="","",$D86/$C86)</f>
        <v/>
      </c>
    </row>
    <row r="87">
      <c r="A87" s="22" t="n"/>
      <c r="B87" s="27" t="n"/>
      <c r="C87" s="24">
        <f>IF($B87="","",IF(COUNT($B$4:$B87)&lt;3,"",AVERAGE($B81:$B87)))</f>
        <v/>
      </c>
      <c r="D87" s="25">
        <f>IF(OR($C87="",$C80=""),"",$C87-$C80)</f>
        <v/>
      </c>
      <c r="E87" s="26">
        <f>IF($D87="","",$D87/$C87)</f>
        <v/>
      </c>
    </row>
    <row r="88">
      <c r="A88" s="22" t="n"/>
      <c r="B88" s="27" t="n"/>
      <c r="C88" s="24">
        <f>IF($B88="","",IF(COUNT($B$4:$B88)&lt;3,"",AVERAGE($B82:$B88)))</f>
        <v/>
      </c>
      <c r="D88" s="25">
        <f>IF(OR($C88="",$C81=""),"",$C88-$C81)</f>
        <v/>
      </c>
      <c r="E88" s="26">
        <f>IF($D88="","",$D88/$C88)</f>
        <v/>
      </c>
    </row>
    <row r="89">
      <c r="A89" s="22" t="n"/>
      <c r="B89" s="27" t="n"/>
      <c r="C89" s="24">
        <f>IF($B89="","",IF(COUNT($B$4:$B89)&lt;3,"",AVERAGE($B83:$B89)))</f>
        <v/>
      </c>
      <c r="D89" s="25">
        <f>IF(OR($C89="",$C82=""),"",$C89-$C82)</f>
        <v/>
      </c>
      <c r="E89" s="26">
        <f>IF($D89="","",$D89/$C89)</f>
        <v/>
      </c>
    </row>
    <row r="90">
      <c r="A90" s="22" t="n"/>
      <c r="B90" s="27" t="n"/>
      <c r="C90" s="24">
        <f>IF($B90="","",IF(COUNT($B$4:$B90)&lt;3,"",AVERAGE($B84:$B90)))</f>
        <v/>
      </c>
      <c r="D90" s="25">
        <f>IF(OR($C90="",$C83=""),"",$C90-$C83)</f>
        <v/>
      </c>
      <c r="E90" s="26">
        <f>IF($D90="","",$D90/$C90)</f>
        <v/>
      </c>
    </row>
    <row r="91">
      <c r="A91" s="22" t="n"/>
      <c r="B91" s="27" t="n"/>
      <c r="C91" s="24">
        <f>IF($B91="","",IF(COUNT($B$4:$B91)&lt;3,"",AVERAGE($B85:$B91)))</f>
        <v/>
      </c>
      <c r="D91" s="25">
        <f>IF(OR($C91="",$C84=""),"",$C91-$C84)</f>
        <v/>
      </c>
      <c r="E91" s="26">
        <f>IF($D91="","",$D91/$C91)</f>
        <v/>
      </c>
    </row>
    <row r="92">
      <c r="A92" s="22" t="n"/>
      <c r="B92" s="27" t="n"/>
      <c r="C92" s="24">
        <f>IF($B92="","",IF(COUNT($B$4:$B92)&lt;3,"",AVERAGE($B86:$B92)))</f>
        <v/>
      </c>
      <c r="D92" s="25">
        <f>IF(OR($C92="",$C85=""),"",$C92-$C85)</f>
        <v/>
      </c>
      <c r="E92" s="26">
        <f>IF($D92="","",$D92/$C92)</f>
        <v/>
      </c>
    </row>
    <row r="93">
      <c r="A93" s="22" t="n"/>
      <c r="B93" s="27" t="n"/>
      <c r="C93" s="24">
        <f>IF($B93="","",IF(COUNT($B$4:$B93)&lt;3,"",AVERAGE($B87:$B93)))</f>
        <v/>
      </c>
      <c r="D93" s="25">
        <f>IF(OR($C93="",$C86=""),"",$C93-$C86)</f>
        <v/>
      </c>
      <c r="E93" s="26">
        <f>IF($D93="","",$D93/$C93)</f>
        <v/>
      </c>
    </row>
    <row r="94">
      <c r="A94" s="22" t="n"/>
      <c r="B94" s="27" t="n"/>
      <c r="C94" s="24">
        <f>IF($B94="","",IF(COUNT($B$4:$B94)&lt;3,"",AVERAGE($B88:$B94)))</f>
        <v/>
      </c>
      <c r="D94" s="25">
        <f>IF(OR($C94="",$C87=""),"",$C94-$C87)</f>
        <v/>
      </c>
      <c r="E94" s="26">
        <f>IF($D94="","",$D94/$C94)</f>
        <v/>
      </c>
    </row>
    <row r="95">
      <c r="A95" s="22" t="n"/>
      <c r="B95" s="27" t="n"/>
      <c r="C95" s="24">
        <f>IF($B95="","",IF(COUNT($B$4:$B95)&lt;3,"",AVERAGE($B89:$B95)))</f>
        <v/>
      </c>
      <c r="D95" s="25">
        <f>IF(OR($C95="",$C88=""),"",$C95-$C88)</f>
        <v/>
      </c>
      <c r="E95" s="26">
        <f>IF($D95="","",$D95/$C95)</f>
        <v/>
      </c>
    </row>
    <row r="96">
      <c r="A96" s="22" t="n"/>
      <c r="B96" s="27" t="n"/>
      <c r="C96" s="24">
        <f>IF($B96="","",IF(COUNT($B$4:$B96)&lt;3,"",AVERAGE($B90:$B96)))</f>
        <v/>
      </c>
      <c r="D96" s="25">
        <f>IF(OR($C96="",$C89=""),"",$C96-$C89)</f>
        <v/>
      </c>
      <c r="E96" s="26">
        <f>IF($D96="","",$D96/$C96)</f>
        <v/>
      </c>
    </row>
    <row r="97">
      <c r="A97" s="22" t="n"/>
      <c r="B97" s="27" t="n"/>
      <c r="C97" s="24">
        <f>IF($B97="","",IF(COUNT($B$4:$B97)&lt;3,"",AVERAGE($B91:$B97)))</f>
        <v/>
      </c>
      <c r="D97" s="25">
        <f>IF(OR($C97="",$C90=""),"",$C97-$C90)</f>
        <v/>
      </c>
      <c r="E97" s="26">
        <f>IF($D97="","",$D97/$C97)</f>
        <v/>
      </c>
    </row>
    <row r="98">
      <c r="A98" s="22" t="n"/>
      <c r="B98" s="27" t="n"/>
      <c r="C98" s="24">
        <f>IF($B98="","",IF(COUNT($B$4:$B98)&lt;3,"",AVERAGE($B92:$B98)))</f>
        <v/>
      </c>
      <c r="D98" s="25">
        <f>IF(OR($C98="",$C91=""),"",$C98-$C91)</f>
        <v/>
      </c>
      <c r="E98" s="26">
        <f>IF($D98="","",$D98/$C98)</f>
        <v/>
      </c>
    </row>
    <row r="99">
      <c r="A99" s="22" t="n"/>
      <c r="B99" s="27" t="n"/>
      <c r="C99" s="24">
        <f>IF($B99="","",IF(COUNT($B$4:$B99)&lt;3,"",AVERAGE($B93:$B99)))</f>
        <v/>
      </c>
      <c r="D99" s="25">
        <f>IF(OR($C99="",$C92=""),"",$C99-$C92)</f>
        <v/>
      </c>
      <c r="E99" s="26">
        <f>IF($D99="","",$D99/$C99)</f>
        <v/>
      </c>
    </row>
    <row r="100">
      <c r="A100" s="22" t="n"/>
      <c r="B100" s="27" t="n"/>
      <c r="C100" s="24">
        <f>IF($B100="","",IF(COUNT($B$4:$B100)&lt;3,"",AVERAGE($B94:$B100)))</f>
        <v/>
      </c>
      <c r="D100" s="25">
        <f>IF(OR($C100="",$C93=""),"",$C100-$C93)</f>
        <v/>
      </c>
      <c r="E100" s="26">
        <f>IF($D100="","",$D100/$C100)</f>
        <v/>
      </c>
    </row>
    <row r="101">
      <c r="A101" s="22" t="n"/>
      <c r="B101" s="27" t="n"/>
      <c r="C101" s="24">
        <f>IF($B101="","",IF(COUNT($B$4:$B101)&lt;3,"",AVERAGE($B95:$B101)))</f>
        <v/>
      </c>
      <c r="D101" s="25">
        <f>IF(OR($C101="",$C94=""),"",$C101-$C94)</f>
        <v/>
      </c>
      <c r="E101" s="26">
        <f>IF($D101="","",$D101/$C101)</f>
        <v/>
      </c>
    </row>
    <row r="102">
      <c r="A102" s="22" t="n"/>
      <c r="B102" s="27" t="n"/>
      <c r="C102" s="24">
        <f>IF($B102="","",IF(COUNT($B$4:$B102)&lt;3,"",AVERAGE($B96:$B102)))</f>
        <v/>
      </c>
      <c r="D102" s="25">
        <f>IF(OR($C102="",$C95=""),"",$C102-$C95)</f>
        <v/>
      </c>
      <c r="E102" s="26">
        <f>IF($D102="","",$D102/$C102)</f>
        <v/>
      </c>
    </row>
    <row r="103">
      <c r="A103" s="22" t="n"/>
      <c r="B103" s="27" t="n"/>
      <c r="C103" s="24">
        <f>IF($B103="","",IF(COUNT($B$4:$B103)&lt;3,"",AVERAGE($B97:$B103)))</f>
        <v/>
      </c>
      <c r="D103" s="25">
        <f>IF(OR($C103="",$C96=""),"",$C103-$C96)</f>
        <v/>
      </c>
      <c r="E103" s="26">
        <f>IF($D103="","",$D103/$C103)</f>
        <v/>
      </c>
    </row>
    <row r="104">
      <c r="A104" s="22" t="n"/>
      <c r="B104" s="27" t="n"/>
      <c r="C104" s="24">
        <f>IF($B104="","",IF(COUNT($B$4:$B104)&lt;3,"",AVERAGE($B98:$B104)))</f>
        <v/>
      </c>
      <c r="D104" s="25">
        <f>IF(OR($C104="",$C97=""),"",$C104-$C97)</f>
        <v/>
      </c>
      <c r="E104" s="26">
        <f>IF($D104="","",$D104/$C104)</f>
        <v/>
      </c>
    </row>
    <row r="105">
      <c r="A105" s="22" t="n"/>
      <c r="B105" s="27" t="n"/>
      <c r="C105" s="24">
        <f>IF($B105="","",IF(COUNT($B$4:$B105)&lt;3,"",AVERAGE($B99:$B105)))</f>
        <v/>
      </c>
      <c r="D105" s="25">
        <f>IF(OR($C105="",$C98=""),"",$C105-$C98)</f>
        <v/>
      </c>
      <c r="E105" s="26">
        <f>IF($D105="","",$D105/$C105)</f>
        <v/>
      </c>
    </row>
    <row r="106">
      <c r="A106" s="22" t="n"/>
      <c r="B106" s="27" t="n"/>
      <c r="C106" s="24">
        <f>IF($B106="","",IF(COUNT($B$4:$B106)&lt;3,"",AVERAGE($B100:$B106)))</f>
        <v/>
      </c>
      <c r="D106" s="25">
        <f>IF(OR($C106="",$C99=""),"",$C106-$C99)</f>
        <v/>
      </c>
      <c r="E106" s="26">
        <f>IF($D106="","",$D106/$C106)</f>
        <v/>
      </c>
    </row>
    <row r="107">
      <c r="A107" s="22" t="n"/>
      <c r="B107" s="27" t="n"/>
      <c r="C107" s="24">
        <f>IF($B107="","",IF(COUNT($B$4:$B107)&lt;3,"",AVERAGE($B101:$B107)))</f>
        <v/>
      </c>
      <c r="D107" s="25">
        <f>IF(OR($C107="",$C100=""),"",$C107-$C100)</f>
        <v/>
      </c>
      <c r="E107" s="26">
        <f>IF($D107="","",$D107/$C107)</f>
        <v/>
      </c>
    </row>
    <row r="108">
      <c r="A108" s="22" t="n"/>
      <c r="B108" s="27" t="n"/>
      <c r="C108" s="24">
        <f>IF($B108="","",IF(COUNT($B$4:$B108)&lt;3,"",AVERAGE($B102:$B108)))</f>
        <v/>
      </c>
      <c r="D108" s="25">
        <f>IF(OR($C108="",$C101=""),"",$C108-$C101)</f>
        <v/>
      </c>
      <c r="E108" s="26">
        <f>IF($D108="","",$D108/$C108)</f>
        <v/>
      </c>
    </row>
    <row r="109">
      <c r="A109" s="22" t="n"/>
      <c r="B109" s="27" t="n"/>
      <c r="C109" s="24">
        <f>IF($B109="","",IF(COUNT($B$4:$B109)&lt;3,"",AVERAGE($B103:$B109)))</f>
        <v/>
      </c>
      <c r="D109" s="25">
        <f>IF(OR($C109="",$C102=""),"",$C109-$C102)</f>
        <v/>
      </c>
      <c r="E109" s="26">
        <f>IF($D109="","",$D109/$C109)</f>
        <v/>
      </c>
    </row>
    <row r="110">
      <c r="A110" s="22" t="n"/>
      <c r="B110" s="27" t="n"/>
      <c r="C110" s="24">
        <f>IF($B110="","",IF(COUNT($B$4:$B110)&lt;3,"",AVERAGE($B104:$B110)))</f>
        <v/>
      </c>
      <c r="D110" s="25">
        <f>IF(OR($C110="",$C103=""),"",$C110-$C103)</f>
        <v/>
      </c>
      <c r="E110" s="26">
        <f>IF($D110="","",$D110/$C110)</f>
        <v/>
      </c>
    </row>
    <row r="111">
      <c r="A111" s="22" t="n"/>
      <c r="B111" s="27" t="n"/>
      <c r="C111" s="24">
        <f>IF($B111="","",IF(COUNT($B$4:$B111)&lt;3,"",AVERAGE($B105:$B111)))</f>
        <v/>
      </c>
      <c r="D111" s="25">
        <f>IF(OR($C111="",$C104=""),"",$C111-$C104)</f>
        <v/>
      </c>
      <c r="E111" s="26">
        <f>IF($D111="","",$D111/$C111)</f>
        <v/>
      </c>
    </row>
    <row r="112">
      <c r="A112" s="22" t="n"/>
      <c r="B112" s="27" t="n"/>
      <c r="C112" s="24">
        <f>IF($B112="","",IF(COUNT($B$4:$B112)&lt;3,"",AVERAGE($B106:$B112)))</f>
        <v/>
      </c>
      <c r="D112" s="25">
        <f>IF(OR($C112="",$C105=""),"",$C112-$C105)</f>
        <v/>
      </c>
      <c r="E112" s="26">
        <f>IF($D112="","",$D112/$C112)</f>
        <v/>
      </c>
    </row>
    <row r="113">
      <c r="A113" s="22" t="n"/>
      <c r="B113" s="27" t="n"/>
      <c r="C113" s="24">
        <f>IF($B113="","",IF(COUNT($B$4:$B113)&lt;3,"",AVERAGE($B107:$B113)))</f>
        <v/>
      </c>
      <c r="D113" s="25">
        <f>IF(OR($C113="",$C106=""),"",$C113-$C106)</f>
        <v/>
      </c>
      <c r="E113" s="26">
        <f>IF($D113="","",$D113/$C113)</f>
        <v/>
      </c>
    </row>
    <row r="114">
      <c r="A114" s="22" t="n"/>
      <c r="B114" s="27" t="n"/>
      <c r="C114" s="24">
        <f>IF($B114="","",IF(COUNT($B$4:$B114)&lt;3,"",AVERAGE($B108:$B114)))</f>
        <v/>
      </c>
      <c r="D114" s="25">
        <f>IF(OR($C114="",$C107=""),"",$C114-$C107)</f>
        <v/>
      </c>
      <c r="E114" s="26">
        <f>IF($D114="","",$D114/$C114)</f>
        <v/>
      </c>
    </row>
    <row r="115">
      <c r="A115" s="22" t="n"/>
      <c r="B115" s="27" t="n"/>
      <c r="C115" s="24">
        <f>IF($B115="","",IF(COUNT($B$4:$B115)&lt;3,"",AVERAGE($B109:$B115)))</f>
        <v/>
      </c>
      <c r="D115" s="25">
        <f>IF(OR($C115="",$C108=""),"",$C115-$C108)</f>
        <v/>
      </c>
      <c r="E115" s="26">
        <f>IF($D115="","",$D115/$C115)</f>
        <v/>
      </c>
    </row>
    <row r="116">
      <c r="A116" s="22" t="n"/>
      <c r="B116" s="27" t="n"/>
      <c r="C116" s="24">
        <f>IF($B116="","",IF(COUNT($B$4:$B116)&lt;3,"",AVERAGE($B110:$B116)))</f>
        <v/>
      </c>
      <c r="D116" s="25">
        <f>IF(OR($C116="",$C109=""),"",$C116-$C109)</f>
        <v/>
      </c>
      <c r="E116" s="26">
        <f>IF($D116="","",$D116/$C116)</f>
        <v/>
      </c>
    </row>
    <row r="117">
      <c r="A117" s="22" t="n"/>
      <c r="B117" s="27" t="n"/>
      <c r="C117" s="24">
        <f>IF($B117="","",IF(COUNT($B$4:$B117)&lt;3,"",AVERAGE($B111:$B117)))</f>
        <v/>
      </c>
      <c r="D117" s="25">
        <f>IF(OR($C117="",$C110=""),"",$C117-$C110)</f>
        <v/>
      </c>
      <c r="E117" s="26">
        <f>IF($D117="","",$D117/$C117)</f>
        <v/>
      </c>
    </row>
    <row r="118">
      <c r="A118" s="22" t="n"/>
      <c r="B118" s="27" t="n"/>
      <c r="C118" s="24">
        <f>IF($B118="","",IF(COUNT($B$4:$B118)&lt;3,"",AVERAGE($B112:$B118)))</f>
        <v/>
      </c>
      <c r="D118" s="25">
        <f>IF(OR($C118="",$C111=""),"",$C118-$C111)</f>
        <v/>
      </c>
      <c r="E118" s="26">
        <f>IF($D118="","",$D118/$C118)</f>
        <v/>
      </c>
    </row>
    <row r="119">
      <c r="A119" s="22" t="n"/>
      <c r="B119" s="27" t="n"/>
      <c r="C119" s="24">
        <f>IF($B119="","",IF(COUNT($B$4:$B119)&lt;3,"",AVERAGE($B113:$B119)))</f>
        <v/>
      </c>
      <c r="D119" s="25">
        <f>IF(OR($C119="",$C112=""),"",$C119-$C112)</f>
        <v/>
      </c>
      <c r="E119" s="26">
        <f>IF($D119="","",$D119/$C119)</f>
        <v/>
      </c>
    </row>
    <row r="120">
      <c r="A120" s="22" t="n"/>
      <c r="B120" s="27" t="n"/>
      <c r="C120" s="24">
        <f>IF($B120="","",IF(COUNT($B$4:$B120)&lt;3,"",AVERAGE($B114:$B120)))</f>
        <v/>
      </c>
      <c r="D120" s="25">
        <f>IF(OR($C120="",$C113=""),"",$C120-$C113)</f>
        <v/>
      </c>
      <c r="E120" s="26">
        <f>IF($D120="","",$D120/$C120)</f>
        <v/>
      </c>
    </row>
    <row r="121">
      <c r="A121" s="22" t="n"/>
      <c r="B121" s="27" t="n"/>
      <c r="C121" s="24">
        <f>IF($B121="","",IF(COUNT($B$4:$B121)&lt;3,"",AVERAGE($B115:$B121)))</f>
        <v/>
      </c>
      <c r="D121" s="25">
        <f>IF(OR($C121="",$C114=""),"",$C121-$C114)</f>
        <v/>
      </c>
      <c r="E121" s="26">
        <f>IF($D121="","",$D121/$C121)</f>
        <v/>
      </c>
    </row>
    <row r="122">
      <c r="A122" s="22" t="n"/>
      <c r="B122" s="27" t="n"/>
      <c r="C122" s="24">
        <f>IF($B122="","",IF(COUNT($B$4:$B122)&lt;3,"",AVERAGE($B116:$B122)))</f>
        <v/>
      </c>
      <c r="D122" s="25">
        <f>IF(OR($C122="",$C115=""),"",$C122-$C115)</f>
        <v/>
      </c>
      <c r="E122" s="26">
        <f>IF($D122="","",$D122/$C122)</f>
        <v/>
      </c>
    </row>
    <row r="123">
      <c r="A123" s="22" t="n"/>
      <c r="B123" s="27" t="n"/>
      <c r="C123" s="24">
        <f>IF($B123="","",IF(COUNT($B$4:$B123)&lt;3,"",AVERAGE($B117:$B123)))</f>
        <v/>
      </c>
      <c r="D123" s="25">
        <f>IF(OR($C123="",$C116=""),"",$C123-$C116)</f>
        <v/>
      </c>
      <c r="E123" s="26">
        <f>IF($D123="","",$D123/$C123)</f>
        <v/>
      </c>
    </row>
  </sheetData>
  <mergeCells count="1">
    <mergeCell ref="A1:E1"/>
  </mergeCells>
  <pageMargins left="0.4" right="0.4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9" customWidth="1" min="3" max="3"/>
    <col width="7" customWidth="1" min="4" max="4"/>
    <col width="6" customWidth="1" min="5" max="5"/>
    <col width="9" customWidth="1" min="6" max="6"/>
    <col width="11" customWidth="1" min="7" max="7"/>
    <col width="24" customWidth="1" min="9" max="9"/>
  </cols>
  <sheetData>
    <row r="1" ht="30" customHeight="1">
      <c r="A1" s="1" t="inlineStr">
        <is>
          <t>WORKOUT LOG — track strength, not soreness</t>
        </is>
      </c>
    </row>
    <row r="3">
      <c r="A3" s="21" t="inlineStr">
        <is>
          <t>Date</t>
        </is>
      </c>
      <c r="B3" s="21" t="inlineStr">
        <is>
          <t>Exercise</t>
        </is>
      </c>
      <c r="C3" s="21" t="inlineStr">
        <is>
          <t>Weight</t>
        </is>
      </c>
      <c r="D3" s="21" t="inlineStr">
        <is>
          <t>Reps</t>
        </is>
      </c>
      <c r="E3" s="21" t="inlineStr">
        <is>
          <t>RIR</t>
        </is>
      </c>
      <c r="F3" s="21" t="inlineStr">
        <is>
          <t>e1RM</t>
        </is>
      </c>
      <c r="G3" s="21" t="inlineStr">
        <is>
          <t>PR?</t>
        </is>
      </c>
      <c r="I3" s="12" t="inlineStr">
        <is>
          <t>Exercise list (edit me)</t>
        </is>
      </c>
    </row>
    <row r="4">
      <c r="A4" s="28" t="n">
        <v>46167</v>
      </c>
      <c r="B4" s="29" t="inlineStr">
        <is>
          <t>Squat</t>
        </is>
      </c>
      <c r="C4" s="23" t="n">
        <v>100</v>
      </c>
      <c r="D4" s="29" t="n">
        <v>5</v>
      </c>
      <c r="E4" s="29" t="n">
        <v>2</v>
      </c>
      <c r="F4" s="27">
        <f>IF(OR($C4="",$D4=""),"",ROUND($C4*(1+$D4/30),1))</f>
        <v/>
      </c>
      <c r="G4" s="30">
        <f>IF($F4="","",IF($F4&gt;=_xlfn.MAXIFS($F$4:$F$203,$B$4:$B$203,$B4),"PR ★",""))</f>
        <v/>
      </c>
      <c r="I4" s="14" t="inlineStr">
        <is>
          <t>Squat</t>
        </is>
      </c>
    </row>
    <row r="5">
      <c r="A5" s="28" t="n">
        <v>46167</v>
      </c>
      <c r="B5" s="29" t="inlineStr">
        <is>
          <t>Bench Press</t>
        </is>
      </c>
      <c r="C5" s="23" t="n">
        <v>80</v>
      </c>
      <c r="D5" s="29" t="n">
        <v>5</v>
      </c>
      <c r="E5" s="29" t="n">
        <v>2</v>
      </c>
      <c r="F5" s="27">
        <f>IF(OR($C5="",$D5=""),"",ROUND($C5*(1+$D5/30),1))</f>
        <v/>
      </c>
      <c r="G5" s="30">
        <f>IF($F5="","",IF($F5&gt;=_xlfn.MAXIFS($F$4:$F$203,$B$4:$B$203,$B5),"PR ★",""))</f>
        <v/>
      </c>
      <c r="I5" s="14" t="inlineStr">
        <is>
          <t>Bench Press</t>
        </is>
      </c>
    </row>
    <row r="6">
      <c r="A6" s="28" t="n">
        <v>46170</v>
      </c>
      <c r="B6" s="29" t="inlineStr">
        <is>
          <t>Deadlift</t>
        </is>
      </c>
      <c r="C6" s="23" t="n">
        <v>140</v>
      </c>
      <c r="D6" s="29" t="n">
        <v>3</v>
      </c>
      <c r="E6" s="29" t="n">
        <v>2</v>
      </c>
      <c r="F6" s="27">
        <f>IF(OR($C6="",$D6=""),"",ROUND($C6*(1+$D6/30),1))</f>
        <v/>
      </c>
      <c r="G6" s="30">
        <f>IF($F6="","",IF($F6&gt;=_xlfn.MAXIFS($F$4:$F$203,$B$4:$B$203,$B6),"PR ★",""))</f>
        <v/>
      </c>
      <c r="I6" s="14" t="inlineStr">
        <is>
          <t>Deadlift</t>
        </is>
      </c>
    </row>
    <row r="7">
      <c r="A7" s="28" t="n">
        <v>46174</v>
      </c>
      <c r="B7" s="29" t="inlineStr">
        <is>
          <t>Squat</t>
        </is>
      </c>
      <c r="C7" s="23" t="n">
        <v>102.5</v>
      </c>
      <c r="D7" s="29" t="n">
        <v>5</v>
      </c>
      <c r="E7" s="29" t="n">
        <v>2</v>
      </c>
      <c r="F7" s="27">
        <f>IF(OR($C7="",$D7=""),"",ROUND($C7*(1+$D7/30),1))</f>
        <v/>
      </c>
      <c r="G7" s="30">
        <f>IF($F7="","",IF($F7&gt;=_xlfn.MAXIFS($F$4:$F$203,$B$4:$B$203,$B7),"PR ★",""))</f>
        <v/>
      </c>
      <c r="I7" s="14" t="inlineStr">
        <is>
          <t>Overhead Press</t>
        </is>
      </c>
    </row>
    <row r="8">
      <c r="A8" s="28" t="n">
        <v>46174</v>
      </c>
      <c r="B8" s="29" t="inlineStr">
        <is>
          <t>Bench Press</t>
        </is>
      </c>
      <c r="C8" s="23" t="n">
        <v>82.5</v>
      </c>
      <c r="D8" s="29" t="n">
        <v>4</v>
      </c>
      <c r="E8" s="29" t="n">
        <v>1</v>
      </c>
      <c r="F8" s="27">
        <f>IF(OR($C8="",$D8=""),"",ROUND($C8*(1+$D8/30),1))</f>
        <v/>
      </c>
      <c r="G8" s="30">
        <f>IF($F8="","",IF($F8&gt;=_xlfn.MAXIFS($F$4:$F$203,$B$4:$B$203,$B8),"PR ★",""))</f>
        <v/>
      </c>
      <c r="I8" s="14" t="inlineStr">
        <is>
          <t>Barbell Row</t>
        </is>
      </c>
    </row>
    <row r="9">
      <c r="A9" s="28" t="n">
        <v>46177</v>
      </c>
      <c r="B9" s="29" t="inlineStr">
        <is>
          <t>Deadlift</t>
        </is>
      </c>
      <c r="C9" s="23" t="n">
        <v>145</v>
      </c>
      <c r="D9" s="29" t="n">
        <v>3</v>
      </c>
      <c r="E9" s="29" t="n">
        <v>2</v>
      </c>
      <c r="F9" s="27">
        <f>IF(OR($C9="",$D9=""),"",ROUND($C9*(1+$D9/30),1))</f>
        <v/>
      </c>
      <c r="G9" s="30">
        <f>IF($F9="","",IF($F9&gt;=_xlfn.MAXIFS($F$4:$F$203,$B$4:$B$203,$B9),"PR ★",""))</f>
        <v/>
      </c>
      <c r="I9" s="14" t="inlineStr">
        <is>
          <t>Pull-Up</t>
        </is>
      </c>
    </row>
    <row r="10">
      <c r="A10" s="22" t="n"/>
      <c r="C10" s="27" t="n"/>
      <c r="F10" s="27">
        <f>IF(OR($C10="",$D10=""),"",ROUND($C10*(1+$D10/30),1))</f>
        <v/>
      </c>
      <c r="G10" s="30">
        <f>IF($F10="","",IF($F10&gt;=_xlfn.MAXIFS($F$4:$F$203,$B$4:$B$203,$B10),"PR ★",""))</f>
        <v/>
      </c>
      <c r="I10" s="14" t="inlineStr">
        <is>
          <t>Dip</t>
        </is>
      </c>
    </row>
    <row r="11">
      <c r="A11" s="22" t="n"/>
      <c r="C11" s="27" t="n"/>
      <c r="F11" s="27">
        <f>IF(OR($C11="",$D11=""),"",ROUND($C11*(1+$D11/30),1))</f>
        <v/>
      </c>
      <c r="G11" s="30">
        <f>IF($F11="","",IF($F11&gt;=_xlfn.MAXIFS($F$4:$F$203,$B$4:$B$203,$B11),"PR ★",""))</f>
        <v/>
      </c>
      <c r="I11" s="14" t="inlineStr">
        <is>
          <t>Incline Bench</t>
        </is>
      </c>
    </row>
    <row r="12">
      <c r="A12" s="22" t="n"/>
      <c r="C12" s="27" t="n"/>
      <c r="F12" s="27">
        <f>IF(OR($C12="",$D12=""),"",ROUND($C12*(1+$D12/30),1))</f>
        <v/>
      </c>
      <c r="G12" s="30">
        <f>IF($F12="","",IF($F12&gt;=_xlfn.MAXIFS($F$4:$F$203,$B$4:$B$203,$B12),"PR ★",""))</f>
        <v/>
      </c>
      <c r="I12" s="14" t="inlineStr">
        <is>
          <t>Romanian Deadlift</t>
        </is>
      </c>
    </row>
    <row r="13">
      <c r="A13" s="22" t="n"/>
      <c r="C13" s="27" t="n"/>
      <c r="F13" s="27">
        <f>IF(OR($C13="",$D13=""),"",ROUND($C13*(1+$D13/30),1))</f>
        <v/>
      </c>
      <c r="G13" s="30">
        <f>IF($F13="","",IF($F13&gt;=_xlfn.MAXIFS($F$4:$F$203,$B$4:$B$203,$B13),"PR ★",""))</f>
        <v/>
      </c>
      <c r="I13" s="14" t="inlineStr">
        <is>
          <t>Front Squat</t>
        </is>
      </c>
    </row>
    <row r="14">
      <c r="A14" s="22" t="n"/>
      <c r="C14" s="27" t="n"/>
      <c r="F14" s="27">
        <f>IF(OR($C14="",$D14=""),"",ROUND($C14*(1+$D14/30),1))</f>
        <v/>
      </c>
      <c r="G14" s="30">
        <f>IF($F14="","",IF($F14&gt;=_xlfn.MAXIFS($F$4:$F$203,$B$4:$B$203,$B14),"PR ★",""))</f>
        <v/>
      </c>
      <c r="I14" s="14" t="inlineStr">
        <is>
          <t>Hip Thrust</t>
        </is>
      </c>
    </row>
    <row r="15">
      <c r="A15" s="22" t="n"/>
      <c r="C15" s="27" t="n"/>
      <c r="F15" s="27">
        <f>IF(OR($C15="",$D15=""),"",ROUND($C15*(1+$D15/30),1))</f>
        <v/>
      </c>
      <c r="G15" s="30">
        <f>IF($F15="","",IF($F15&gt;=_xlfn.MAXIFS($F$4:$F$203,$B$4:$B$203,$B15),"PR ★",""))</f>
        <v/>
      </c>
      <c r="I15" s="14" t="inlineStr">
        <is>
          <t>Lat Pulldown</t>
        </is>
      </c>
    </row>
    <row r="16">
      <c r="A16" s="22" t="n"/>
      <c r="C16" s="27" t="n"/>
      <c r="F16" s="27">
        <f>IF(OR($C16="",$D16=""),"",ROUND($C16*(1+$D16/30),1))</f>
        <v/>
      </c>
      <c r="G16" s="30">
        <f>IF($F16="","",IF($F16&gt;=_xlfn.MAXIFS($F$4:$F$203,$B$4:$B$203,$B16),"PR ★",""))</f>
        <v/>
      </c>
      <c r="I16" s="14" t="inlineStr">
        <is>
          <t>Seated Cable Row</t>
        </is>
      </c>
    </row>
    <row r="17">
      <c r="A17" s="22" t="n"/>
      <c r="C17" s="27" t="n"/>
      <c r="F17" s="27">
        <f>IF(OR($C17="",$D17=""),"",ROUND($C17*(1+$D17/30),1))</f>
        <v/>
      </c>
      <c r="G17" s="30">
        <f>IF($F17="","",IF($F17&gt;=_xlfn.MAXIFS($F$4:$F$203,$B$4:$B$203,$B17),"PR ★",""))</f>
        <v/>
      </c>
      <c r="I17" s="14" t="inlineStr">
        <is>
          <t>Leg Press</t>
        </is>
      </c>
    </row>
    <row r="18">
      <c r="A18" s="22" t="n"/>
      <c r="C18" s="27" t="n"/>
      <c r="F18" s="27">
        <f>IF(OR($C18="",$D18=""),"",ROUND($C18*(1+$D18/30),1))</f>
        <v/>
      </c>
      <c r="G18" s="30">
        <f>IF($F18="","",IF($F18&gt;=_xlfn.MAXIFS($F$4:$F$203,$B$4:$B$203,$B18),"PR ★",""))</f>
        <v/>
      </c>
      <c r="I18" s="14" t="inlineStr">
        <is>
          <t>Bulgarian Split Squat</t>
        </is>
      </c>
    </row>
    <row r="19">
      <c r="A19" s="22" t="n"/>
      <c r="C19" s="27" t="n"/>
      <c r="F19" s="27">
        <f>IF(OR($C19="",$D19=""),"",ROUND($C19*(1+$D19/30),1))</f>
        <v/>
      </c>
      <c r="G19" s="30">
        <f>IF($F19="","",IF($F19&gt;=_xlfn.MAXIFS($F$4:$F$203,$B$4:$B$203,$B19),"PR ★",""))</f>
        <v/>
      </c>
    </row>
    <row r="20">
      <c r="A20" s="22" t="n"/>
      <c r="C20" s="27" t="n"/>
      <c r="F20" s="27">
        <f>IF(OR($C20="",$D20=""),"",ROUND($C20*(1+$D20/30),1))</f>
        <v/>
      </c>
      <c r="G20" s="30">
        <f>IF($F20="","",IF($F20&gt;=_xlfn.MAXIFS($F$4:$F$203,$B$4:$B$203,$B20),"PR ★",""))</f>
        <v/>
      </c>
    </row>
    <row r="21">
      <c r="A21" s="22" t="n"/>
      <c r="C21" s="27" t="n"/>
      <c r="F21" s="27">
        <f>IF(OR($C21="",$D21=""),"",ROUND($C21*(1+$D21/30),1))</f>
        <v/>
      </c>
      <c r="G21" s="30">
        <f>IF($F21="","",IF($F21&gt;=_xlfn.MAXIFS($F$4:$F$203,$B$4:$B$203,$B21),"PR ★",""))</f>
        <v/>
      </c>
    </row>
    <row r="22">
      <c r="A22" s="22" t="n"/>
      <c r="C22" s="27" t="n"/>
      <c r="F22" s="27">
        <f>IF(OR($C22="",$D22=""),"",ROUND($C22*(1+$D22/30),1))</f>
        <v/>
      </c>
      <c r="G22" s="30">
        <f>IF($F22="","",IF($F22&gt;=_xlfn.MAXIFS($F$4:$F$203,$B$4:$B$203,$B22),"PR ★",""))</f>
        <v/>
      </c>
    </row>
    <row r="23">
      <c r="A23" s="22" t="n"/>
      <c r="C23" s="27" t="n"/>
      <c r="F23" s="27">
        <f>IF(OR($C23="",$D23=""),"",ROUND($C23*(1+$D23/30),1))</f>
        <v/>
      </c>
      <c r="G23" s="30">
        <f>IF($F23="","",IF($F23&gt;=_xlfn.MAXIFS($F$4:$F$203,$B$4:$B$203,$B23),"PR ★",""))</f>
        <v/>
      </c>
    </row>
    <row r="24">
      <c r="A24" s="22" t="n"/>
      <c r="C24" s="27" t="n"/>
      <c r="F24" s="27">
        <f>IF(OR($C24="",$D24=""),"",ROUND($C24*(1+$D24/30),1))</f>
        <v/>
      </c>
      <c r="G24" s="30">
        <f>IF($F24="","",IF($F24&gt;=_xlfn.MAXIFS($F$4:$F$203,$B$4:$B$203,$B24),"PR ★",""))</f>
        <v/>
      </c>
    </row>
    <row r="25">
      <c r="A25" s="22" t="n"/>
      <c r="C25" s="27" t="n"/>
      <c r="F25" s="27">
        <f>IF(OR($C25="",$D25=""),"",ROUND($C25*(1+$D25/30),1))</f>
        <v/>
      </c>
      <c r="G25" s="30">
        <f>IF($F25="","",IF($F25&gt;=_xlfn.MAXIFS($F$4:$F$203,$B$4:$B$203,$B25),"PR ★",""))</f>
        <v/>
      </c>
    </row>
    <row r="26">
      <c r="A26" s="22" t="n"/>
      <c r="C26" s="27" t="n"/>
      <c r="F26" s="27">
        <f>IF(OR($C26="",$D26=""),"",ROUND($C26*(1+$D26/30),1))</f>
        <v/>
      </c>
      <c r="G26" s="30">
        <f>IF($F26="","",IF($F26&gt;=_xlfn.MAXIFS($F$4:$F$203,$B$4:$B$203,$B26),"PR ★",""))</f>
        <v/>
      </c>
    </row>
    <row r="27">
      <c r="A27" s="22" t="n"/>
      <c r="C27" s="27" t="n"/>
      <c r="F27" s="27">
        <f>IF(OR($C27="",$D27=""),"",ROUND($C27*(1+$D27/30),1))</f>
        <v/>
      </c>
      <c r="G27" s="30">
        <f>IF($F27="","",IF($F27&gt;=_xlfn.MAXIFS($F$4:$F$203,$B$4:$B$203,$B27),"PR ★",""))</f>
        <v/>
      </c>
    </row>
    <row r="28">
      <c r="A28" s="22" t="n"/>
      <c r="C28" s="27" t="n"/>
      <c r="F28" s="27">
        <f>IF(OR($C28="",$D28=""),"",ROUND($C28*(1+$D28/30),1))</f>
        <v/>
      </c>
      <c r="G28" s="30">
        <f>IF($F28="","",IF($F28&gt;=_xlfn.MAXIFS($F$4:$F$203,$B$4:$B$203,$B28),"PR ★",""))</f>
        <v/>
      </c>
    </row>
    <row r="29">
      <c r="A29" s="22" t="n"/>
      <c r="C29" s="27" t="n"/>
      <c r="F29" s="27">
        <f>IF(OR($C29="",$D29=""),"",ROUND($C29*(1+$D29/30),1))</f>
        <v/>
      </c>
      <c r="G29" s="30">
        <f>IF($F29="","",IF($F29&gt;=_xlfn.MAXIFS($F$4:$F$203,$B$4:$B$203,$B29),"PR ★",""))</f>
        <v/>
      </c>
    </row>
    <row r="30">
      <c r="A30" s="22" t="n"/>
      <c r="C30" s="27" t="n"/>
      <c r="F30" s="27">
        <f>IF(OR($C30="",$D30=""),"",ROUND($C30*(1+$D30/30),1))</f>
        <v/>
      </c>
      <c r="G30" s="30">
        <f>IF($F30="","",IF($F30&gt;=_xlfn.MAXIFS($F$4:$F$203,$B$4:$B$203,$B30),"PR ★",""))</f>
        <v/>
      </c>
    </row>
    <row r="31">
      <c r="A31" s="22" t="n"/>
      <c r="C31" s="27" t="n"/>
      <c r="F31" s="27">
        <f>IF(OR($C31="",$D31=""),"",ROUND($C31*(1+$D31/30),1))</f>
        <v/>
      </c>
      <c r="G31" s="30">
        <f>IF($F31="","",IF($F31&gt;=_xlfn.MAXIFS($F$4:$F$203,$B$4:$B$203,$B31),"PR ★",""))</f>
        <v/>
      </c>
    </row>
    <row r="32">
      <c r="A32" s="22" t="n"/>
      <c r="C32" s="27" t="n"/>
      <c r="F32" s="27">
        <f>IF(OR($C32="",$D32=""),"",ROUND($C32*(1+$D32/30),1))</f>
        <v/>
      </c>
      <c r="G32" s="30">
        <f>IF($F32="","",IF($F32&gt;=_xlfn.MAXIFS($F$4:$F$203,$B$4:$B$203,$B32),"PR ★",""))</f>
        <v/>
      </c>
    </row>
    <row r="33">
      <c r="A33" s="22" t="n"/>
      <c r="C33" s="27" t="n"/>
      <c r="F33" s="27">
        <f>IF(OR($C33="",$D33=""),"",ROUND($C33*(1+$D33/30),1))</f>
        <v/>
      </c>
      <c r="G33" s="30">
        <f>IF($F33="","",IF($F33&gt;=_xlfn.MAXIFS($F$4:$F$203,$B$4:$B$203,$B33),"PR ★",""))</f>
        <v/>
      </c>
    </row>
    <row r="34">
      <c r="A34" s="22" t="n"/>
      <c r="C34" s="27" t="n"/>
      <c r="F34" s="27">
        <f>IF(OR($C34="",$D34=""),"",ROUND($C34*(1+$D34/30),1))</f>
        <v/>
      </c>
      <c r="G34" s="30">
        <f>IF($F34="","",IF($F34&gt;=_xlfn.MAXIFS($F$4:$F$203,$B$4:$B$203,$B34),"PR ★",""))</f>
        <v/>
      </c>
    </row>
    <row r="35">
      <c r="A35" s="22" t="n"/>
      <c r="C35" s="27" t="n"/>
      <c r="F35" s="27">
        <f>IF(OR($C35="",$D35=""),"",ROUND($C35*(1+$D35/30),1))</f>
        <v/>
      </c>
      <c r="G35" s="30">
        <f>IF($F35="","",IF($F35&gt;=_xlfn.MAXIFS($F$4:$F$203,$B$4:$B$203,$B35),"PR ★",""))</f>
        <v/>
      </c>
    </row>
    <row r="36">
      <c r="A36" s="22" t="n"/>
      <c r="C36" s="27" t="n"/>
      <c r="F36" s="27">
        <f>IF(OR($C36="",$D36=""),"",ROUND($C36*(1+$D36/30),1))</f>
        <v/>
      </c>
      <c r="G36" s="30">
        <f>IF($F36="","",IF($F36&gt;=_xlfn.MAXIFS($F$4:$F$203,$B$4:$B$203,$B36),"PR ★",""))</f>
        <v/>
      </c>
    </row>
    <row r="37">
      <c r="A37" s="22" t="n"/>
      <c r="C37" s="27" t="n"/>
      <c r="F37" s="27">
        <f>IF(OR($C37="",$D37=""),"",ROUND($C37*(1+$D37/30),1))</f>
        <v/>
      </c>
      <c r="G37" s="30">
        <f>IF($F37="","",IF($F37&gt;=_xlfn.MAXIFS($F$4:$F$203,$B$4:$B$203,$B37),"PR ★",""))</f>
        <v/>
      </c>
    </row>
    <row r="38">
      <c r="A38" s="22" t="n"/>
      <c r="C38" s="27" t="n"/>
      <c r="F38" s="27">
        <f>IF(OR($C38="",$D38=""),"",ROUND($C38*(1+$D38/30),1))</f>
        <v/>
      </c>
      <c r="G38" s="30">
        <f>IF($F38="","",IF($F38&gt;=_xlfn.MAXIFS($F$4:$F$203,$B$4:$B$203,$B38),"PR ★",""))</f>
        <v/>
      </c>
    </row>
    <row r="39">
      <c r="A39" s="22" t="n"/>
      <c r="C39" s="27" t="n"/>
      <c r="F39" s="27">
        <f>IF(OR($C39="",$D39=""),"",ROUND($C39*(1+$D39/30),1))</f>
        <v/>
      </c>
      <c r="G39" s="30">
        <f>IF($F39="","",IF($F39&gt;=_xlfn.MAXIFS($F$4:$F$203,$B$4:$B$203,$B39),"PR ★",""))</f>
        <v/>
      </c>
    </row>
    <row r="40">
      <c r="A40" s="22" t="n"/>
      <c r="C40" s="27" t="n"/>
      <c r="F40" s="27">
        <f>IF(OR($C40="",$D40=""),"",ROUND($C40*(1+$D40/30),1))</f>
        <v/>
      </c>
      <c r="G40" s="30">
        <f>IF($F40="","",IF($F40&gt;=_xlfn.MAXIFS($F$4:$F$203,$B$4:$B$203,$B40),"PR ★",""))</f>
        <v/>
      </c>
    </row>
    <row r="41">
      <c r="A41" s="22" t="n"/>
      <c r="C41" s="27" t="n"/>
      <c r="F41" s="27">
        <f>IF(OR($C41="",$D41=""),"",ROUND($C41*(1+$D41/30),1))</f>
        <v/>
      </c>
      <c r="G41" s="30">
        <f>IF($F41="","",IF($F41&gt;=_xlfn.MAXIFS($F$4:$F$203,$B$4:$B$203,$B41),"PR ★",""))</f>
        <v/>
      </c>
    </row>
    <row r="42">
      <c r="A42" s="22" t="n"/>
      <c r="C42" s="27" t="n"/>
      <c r="F42" s="27">
        <f>IF(OR($C42="",$D42=""),"",ROUND($C42*(1+$D42/30),1))</f>
        <v/>
      </c>
      <c r="G42" s="30">
        <f>IF($F42="","",IF($F42&gt;=_xlfn.MAXIFS($F$4:$F$203,$B$4:$B$203,$B42),"PR ★",""))</f>
        <v/>
      </c>
    </row>
    <row r="43">
      <c r="A43" s="22" t="n"/>
      <c r="C43" s="27" t="n"/>
      <c r="F43" s="27">
        <f>IF(OR($C43="",$D43=""),"",ROUND($C43*(1+$D43/30),1))</f>
        <v/>
      </c>
      <c r="G43" s="30">
        <f>IF($F43="","",IF($F43&gt;=_xlfn.MAXIFS($F$4:$F$203,$B$4:$B$203,$B43),"PR ★",""))</f>
        <v/>
      </c>
    </row>
    <row r="44">
      <c r="A44" s="22" t="n"/>
      <c r="C44" s="27" t="n"/>
      <c r="F44" s="27">
        <f>IF(OR($C44="",$D44=""),"",ROUND($C44*(1+$D44/30),1))</f>
        <v/>
      </c>
      <c r="G44" s="30">
        <f>IF($F44="","",IF($F44&gt;=_xlfn.MAXIFS($F$4:$F$203,$B$4:$B$203,$B44),"PR ★",""))</f>
        <v/>
      </c>
    </row>
    <row r="45">
      <c r="A45" s="22" t="n"/>
      <c r="C45" s="27" t="n"/>
      <c r="F45" s="27">
        <f>IF(OR($C45="",$D45=""),"",ROUND($C45*(1+$D45/30),1))</f>
        <v/>
      </c>
      <c r="G45" s="30">
        <f>IF($F45="","",IF($F45&gt;=_xlfn.MAXIFS($F$4:$F$203,$B$4:$B$203,$B45),"PR ★",""))</f>
        <v/>
      </c>
    </row>
    <row r="46">
      <c r="A46" s="22" t="n"/>
      <c r="C46" s="27" t="n"/>
      <c r="F46" s="27">
        <f>IF(OR($C46="",$D46=""),"",ROUND($C46*(1+$D46/30),1))</f>
        <v/>
      </c>
      <c r="G46" s="30">
        <f>IF($F46="","",IF($F46&gt;=_xlfn.MAXIFS($F$4:$F$203,$B$4:$B$203,$B46),"PR ★",""))</f>
        <v/>
      </c>
    </row>
    <row r="47">
      <c r="A47" s="22" t="n"/>
      <c r="C47" s="27" t="n"/>
      <c r="F47" s="27">
        <f>IF(OR($C47="",$D47=""),"",ROUND($C47*(1+$D47/30),1))</f>
        <v/>
      </c>
      <c r="G47" s="30">
        <f>IF($F47="","",IF($F47&gt;=_xlfn.MAXIFS($F$4:$F$203,$B$4:$B$203,$B47),"PR ★",""))</f>
        <v/>
      </c>
    </row>
    <row r="48">
      <c r="A48" s="22" t="n"/>
      <c r="C48" s="27" t="n"/>
      <c r="F48" s="27">
        <f>IF(OR($C48="",$D48=""),"",ROUND($C48*(1+$D48/30),1))</f>
        <v/>
      </c>
      <c r="G48" s="30">
        <f>IF($F48="","",IF($F48&gt;=_xlfn.MAXIFS($F$4:$F$203,$B$4:$B$203,$B48),"PR ★",""))</f>
        <v/>
      </c>
    </row>
    <row r="49">
      <c r="A49" s="22" t="n"/>
      <c r="C49" s="27" t="n"/>
      <c r="F49" s="27">
        <f>IF(OR($C49="",$D49=""),"",ROUND($C49*(1+$D49/30),1))</f>
        <v/>
      </c>
      <c r="G49" s="30">
        <f>IF($F49="","",IF($F49&gt;=_xlfn.MAXIFS($F$4:$F$203,$B$4:$B$203,$B49),"PR ★",""))</f>
        <v/>
      </c>
    </row>
    <row r="50">
      <c r="A50" s="22" t="n"/>
      <c r="C50" s="27" t="n"/>
      <c r="F50" s="27">
        <f>IF(OR($C50="",$D50=""),"",ROUND($C50*(1+$D50/30),1))</f>
        <v/>
      </c>
      <c r="G50" s="30">
        <f>IF($F50="","",IF($F50&gt;=_xlfn.MAXIFS($F$4:$F$203,$B$4:$B$203,$B50),"PR ★",""))</f>
        <v/>
      </c>
    </row>
    <row r="51">
      <c r="A51" s="22" t="n"/>
      <c r="C51" s="27" t="n"/>
      <c r="F51" s="27">
        <f>IF(OR($C51="",$D51=""),"",ROUND($C51*(1+$D51/30),1))</f>
        <v/>
      </c>
      <c r="G51" s="30">
        <f>IF($F51="","",IF($F51&gt;=_xlfn.MAXIFS($F$4:$F$203,$B$4:$B$203,$B51),"PR ★",""))</f>
        <v/>
      </c>
    </row>
    <row r="52">
      <c r="A52" s="22" t="n"/>
      <c r="C52" s="27" t="n"/>
      <c r="F52" s="27">
        <f>IF(OR($C52="",$D52=""),"",ROUND($C52*(1+$D52/30),1))</f>
        <v/>
      </c>
      <c r="G52" s="30">
        <f>IF($F52="","",IF($F52&gt;=_xlfn.MAXIFS($F$4:$F$203,$B$4:$B$203,$B52),"PR ★",""))</f>
        <v/>
      </c>
    </row>
    <row r="53">
      <c r="A53" s="22" t="n"/>
      <c r="C53" s="27" t="n"/>
      <c r="F53" s="27">
        <f>IF(OR($C53="",$D53=""),"",ROUND($C53*(1+$D53/30),1))</f>
        <v/>
      </c>
      <c r="G53" s="30">
        <f>IF($F53="","",IF($F53&gt;=_xlfn.MAXIFS($F$4:$F$203,$B$4:$B$203,$B53),"PR ★",""))</f>
        <v/>
      </c>
    </row>
    <row r="54">
      <c r="A54" s="22" t="n"/>
      <c r="C54" s="27" t="n"/>
      <c r="F54" s="27">
        <f>IF(OR($C54="",$D54=""),"",ROUND($C54*(1+$D54/30),1))</f>
        <v/>
      </c>
      <c r="G54" s="30">
        <f>IF($F54="","",IF($F54&gt;=_xlfn.MAXIFS($F$4:$F$203,$B$4:$B$203,$B54),"PR ★",""))</f>
        <v/>
      </c>
    </row>
    <row r="55">
      <c r="A55" s="22" t="n"/>
      <c r="C55" s="27" t="n"/>
      <c r="F55" s="27">
        <f>IF(OR($C55="",$D55=""),"",ROUND($C55*(1+$D55/30),1))</f>
        <v/>
      </c>
      <c r="G55" s="30">
        <f>IF($F55="","",IF($F55&gt;=_xlfn.MAXIFS($F$4:$F$203,$B$4:$B$203,$B55),"PR ★",""))</f>
        <v/>
      </c>
    </row>
    <row r="56">
      <c r="A56" s="22" t="n"/>
      <c r="C56" s="27" t="n"/>
      <c r="F56" s="27">
        <f>IF(OR($C56="",$D56=""),"",ROUND($C56*(1+$D56/30),1))</f>
        <v/>
      </c>
      <c r="G56" s="30">
        <f>IF($F56="","",IF($F56&gt;=_xlfn.MAXIFS($F$4:$F$203,$B$4:$B$203,$B56),"PR ★",""))</f>
        <v/>
      </c>
    </row>
    <row r="57">
      <c r="A57" s="22" t="n"/>
      <c r="C57" s="27" t="n"/>
      <c r="F57" s="27">
        <f>IF(OR($C57="",$D57=""),"",ROUND($C57*(1+$D57/30),1))</f>
        <v/>
      </c>
      <c r="G57" s="30">
        <f>IF($F57="","",IF($F57&gt;=_xlfn.MAXIFS($F$4:$F$203,$B$4:$B$203,$B57),"PR ★",""))</f>
        <v/>
      </c>
    </row>
    <row r="58">
      <c r="A58" s="22" t="n"/>
      <c r="C58" s="27" t="n"/>
      <c r="F58" s="27">
        <f>IF(OR($C58="",$D58=""),"",ROUND($C58*(1+$D58/30),1))</f>
        <v/>
      </c>
      <c r="G58" s="30">
        <f>IF($F58="","",IF($F58&gt;=_xlfn.MAXIFS($F$4:$F$203,$B$4:$B$203,$B58),"PR ★",""))</f>
        <v/>
      </c>
    </row>
    <row r="59">
      <c r="A59" s="22" t="n"/>
      <c r="C59" s="27" t="n"/>
      <c r="F59" s="27">
        <f>IF(OR($C59="",$D59=""),"",ROUND($C59*(1+$D59/30),1))</f>
        <v/>
      </c>
      <c r="G59" s="30">
        <f>IF($F59="","",IF($F59&gt;=_xlfn.MAXIFS($F$4:$F$203,$B$4:$B$203,$B59),"PR ★",""))</f>
        <v/>
      </c>
    </row>
    <row r="60">
      <c r="A60" s="22" t="n"/>
      <c r="C60" s="27" t="n"/>
      <c r="F60" s="27">
        <f>IF(OR($C60="",$D60=""),"",ROUND($C60*(1+$D60/30),1))</f>
        <v/>
      </c>
      <c r="G60" s="30">
        <f>IF($F60="","",IF($F60&gt;=_xlfn.MAXIFS($F$4:$F$203,$B$4:$B$203,$B60),"PR ★",""))</f>
        <v/>
      </c>
    </row>
    <row r="61">
      <c r="A61" s="22" t="n"/>
      <c r="C61" s="27" t="n"/>
      <c r="F61" s="27">
        <f>IF(OR($C61="",$D61=""),"",ROUND($C61*(1+$D61/30),1))</f>
        <v/>
      </c>
      <c r="G61" s="30">
        <f>IF($F61="","",IF($F61&gt;=_xlfn.MAXIFS($F$4:$F$203,$B$4:$B$203,$B61),"PR ★",""))</f>
        <v/>
      </c>
    </row>
    <row r="62">
      <c r="A62" s="22" t="n"/>
      <c r="C62" s="27" t="n"/>
      <c r="F62" s="27">
        <f>IF(OR($C62="",$D62=""),"",ROUND($C62*(1+$D62/30),1))</f>
        <v/>
      </c>
      <c r="G62" s="30">
        <f>IF($F62="","",IF($F62&gt;=_xlfn.MAXIFS($F$4:$F$203,$B$4:$B$203,$B62),"PR ★",""))</f>
        <v/>
      </c>
    </row>
    <row r="63">
      <c r="A63" s="22" t="n"/>
      <c r="C63" s="27" t="n"/>
      <c r="F63" s="27">
        <f>IF(OR($C63="",$D63=""),"",ROUND($C63*(1+$D63/30),1))</f>
        <v/>
      </c>
      <c r="G63" s="30">
        <f>IF($F63="","",IF($F63&gt;=_xlfn.MAXIFS($F$4:$F$203,$B$4:$B$203,$B63),"PR ★",""))</f>
        <v/>
      </c>
    </row>
    <row r="64">
      <c r="A64" s="22" t="n"/>
      <c r="C64" s="27" t="n"/>
      <c r="F64" s="27">
        <f>IF(OR($C64="",$D64=""),"",ROUND($C64*(1+$D64/30),1))</f>
        <v/>
      </c>
      <c r="G64" s="30">
        <f>IF($F64="","",IF($F64&gt;=_xlfn.MAXIFS($F$4:$F$203,$B$4:$B$203,$B64),"PR ★",""))</f>
        <v/>
      </c>
    </row>
    <row r="65">
      <c r="A65" s="22" t="n"/>
      <c r="C65" s="27" t="n"/>
      <c r="F65" s="27">
        <f>IF(OR($C65="",$D65=""),"",ROUND($C65*(1+$D65/30),1))</f>
        <v/>
      </c>
      <c r="G65" s="30">
        <f>IF($F65="","",IF($F65&gt;=_xlfn.MAXIFS($F$4:$F$203,$B$4:$B$203,$B65),"PR ★",""))</f>
        <v/>
      </c>
    </row>
    <row r="66">
      <c r="A66" s="22" t="n"/>
      <c r="C66" s="27" t="n"/>
      <c r="F66" s="27">
        <f>IF(OR($C66="",$D66=""),"",ROUND($C66*(1+$D66/30),1))</f>
        <v/>
      </c>
      <c r="G66" s="30">
        <f>IF($F66="","",IF($F66&gt;=_xlfn.MAXIFS($F$4:$F$203,$B$4:$B$203,$B66),"PR ★",""))</f>
        <v/>
      </c>
    </row>
    <row r="67">
      <c r="A67" s="22" t="n"/>
      <c r="C67" s="27" t="n"/>
      <c r="F67" s="27">
        <f>IF(OR($C67="",$D67=""),"",ROUND($C67*(1+$D67/30),1))</f>
        <v/>
      </c>
      <c r="G67" s="30">
        <f>IF($F67="","",IF($F67&gt;=_xlfn.MAXIFS($F$4:$F$203,$B$4:$B$203,$B67),"PR ★",""))</f>
        <v/>
      </c>
    </row>
    <row r="68">
      <c r="A68" s="22" t="n"/>
      <c r="C68" s="27" t="n"/>
      <c r="F68" s="27">
        <f>IF(OR($C68="",$D68=""),"",ROUND($C68*(1+$D68/30),1))</f>
        <v/>
      </c>
      <c r="G68" s="30">
        <f>IF($F68="","",IF($F68&gt;=_xlfn.MAXIFS($F$4:$F$203,$B$4:$B$203,$B68),"PR ★",""))</f>
        <v/>
      </c>
    </row>
    <row r="69">
      <c r="A69" s="22" t="n"/>
      <c r="C69" s="27" t="n"/>
      <c r="F69" s="27">
        <f>IF(OR($C69="",$D69=""),"",ROUND($C69*(1+$D69/30),1))</f>
        <v/>
      </c>
      <c r="G69" s="30">
        <f>IF($F69="","",IF($F69&gt;=_xlfn.MAXIFS($F$4:$F$203,$B$4:$B$203,$B69),"PR ★",""))</f>
        <v/>
      </c>
    </row>
    <row r="70">
      <c r="A70" s="22" t="n"/>
      <c r="C70" s="27" t="n"/>
      <c r="F70" s="27">
        <f>IF(OR($C70="",$D70=""),"",ROUND($C70*(1+$D70/30),1))</f>
        <v/>
      </c>
      <c r="G70" s="30">
        <f>IF($F70="","",IF($F70&gt;=_xlfn.MAXIFS($F$4:$F$203,$B$4:$B$203,$B70),"PR ★",""))</f>
        <v/>
      </c>
    </row>
    <row r="71">
      <c r="A71" s="22" t="n"/>
      <c r="C71" s="27" t="n"/>
      <c r="F71" s="27">
        <f>IF(OR($C71="",$D71=""),"",ROUND($C71*(1+$D71/30),1))</f>
        <v/>
      </c>
      <c r="G71" s="30">
        <f>IF($F71="","",IF($F71&gt;=_xlfn.MAXIFS($F$4:$F$203,$B$4:$B$203,$B71),"PR ★",""))</f>
        <v/>
      </c>
    </row>
    <row r="72">
      <c r="A72" s="22" t="n"/>
      <c r="C72" s="27" t="n"/>
      <c r="F72" s="27">
        <f>IF(OR($C72="",$D72=""),"",ROUND($C72*(1+$D72/30),1))</f>
        <v/>
      </c>
      <c r="G72" s="30">
        <f>IF($F72="","",IF($F72&gt;=_xlfn.MAXIFS($F$4:$F$203,$B$4:$B$203,$B72),"PR ★",""))</f>
        <v/>
      </c>
    </row>
    <row r="73">
      <c r="A73" s="22" t="n"/>
      <c r="C73" s="27" t="n"/>
      <c r="F73" s="27">
        <f>IF(OR($C73="",$D73=""),"",ROUND($C73*(1+$D73/30),1))</f>
        <v/>
      </c>
      <c r="G73" s="30">
        <f>IF($F73="","",IF($F73&gt;=_xlfn.MAXIFS($F$4:$F$203,$B$4:$B$203,$B73),"PR ★",""))</f>
        <v/>
      </c>
    </row>
    <row r="74">
      <c r="A74" s="22" t="n"/>
      <c r="C74" s="27" t="n"/>
      <c r="F74" s="27">
        <f>IF(OR($C74="",$D74=""),"",ROUND($C74*(1+$D74/30),1))</f>
        <v/>
      </c>
      <c r="G74" s="30">
        <f>IF($F74="","",IF($F74&gt;=_xlfn.MAXIFS($F$4:$F$203,$B$4:$B$203,$B74),"PR ★",""))</f>
        <v/>
      </c>
    </row>
    <row r="75">
      <c r="A75" s="22" t="n"/>
      <c r="C75" s="27" t="n"/>
      <c r="F75" s="27">
        <f>IF(OR($C75="",$D75=""),"",ROUND($C75*(1+$D75/30),1))</f>
        <v/>
      </c>
      <c r="G75" s="30">
        <f>IF($F75="","",IF($F75&gt;=_xlfn.MAXIFS($F$4:$F$203,$B$4:$B$203,$B75),"PR ★",""))</f>
        <v/>
      </c>
    </row>
    <row r="76">
      <c r="A76" s="22" t="n"/>
      <c r="C76" s="27" t="n"/>
      <c r="F76" s="27">
        <f>IF(OR($C76="",$D76=""),"",ROUND($C76*(1+$D76/30),1))</f>
        <v/>
      </c>
      <c r="G76" s="30">
        <f>IF($F76="","",IF($F76&gt;=_xlfn.MAXIFS($F$4:$F$203,$B$4:$B$203,$B76),"PR ★",""))</f>
        <v/>
      </c>
    </row>
    <row r="77">
      <c r="A77" s="22" t="n"/>
      <c r="C77" s="27" t="n"/>
      <c r="F77" s="27">
        <f>IF(OR($C77="",$D77=""),"",ROUND($C77*(1+$D77/30),1))</f>
        <v/>
      </c>
      <c r="G77" s="30">
        <f>IF($F77="","",IF($F77&gt;=_xlfn.MAXIFS($F$4:$F$203,$B$4:$B$203,$B77),"PR ★",""))</f>
        <v/>
      </c>
    </row>
    <row r="78">
      <c r="A78" s="22" t="n"/>
      <c r="C78" s="27" t="n"/>
      <c r="F78" s="27">
        <f>IF(OR($C78="",$D78=""),"",ROUND($C78*(1+$D78/30),1))</f>
        <v/>
      </c>
      <c r="G78" s="30">
        <f>IF($F78="","",IF($F78&gt;=_xlfn.MAXIFS($F$4:$F$203,$B$4:$B$203,$B78),"PR ★",""))</f>
        <v/>
      </c>
    </row>
    <row r="79">
      <c r="A79" s="22" t="n"/>
      <c r="C79" s="27" t="n"/>
      <c r="F79" s="27">
        <f>IF(OR($C79="",$D79=""),"",ROUND($C79*(1+$D79/30),1))</f>
        <v/>
      </c>
      <c r="G79" s="30">
        <f>IF($F79="","",IF($F79&gt;=_xlfn.MAXIFS($F$4:$F$203,$B$4:$B$203,$B79),"PR ★",""))</f>
        <v/>
      </c>
    </row>
    <row r="80">
      <c r="A80" s="22" t="n"/>
      <c r="C80" s="27" t="n"/>
      <c r="F80" s="27">
        <f>IF(OR($C80="",$D80=""),"",ROUND($C80*(1+$D80/30),1))</f>
        <v/>
      </c>
      <c r="G80" s="30">
        <f>IF($F80="","",IF($F80&gt;=_xlfn.MAXIFS($F$4:$F$203,$B$4:$B$203,$B80),"PR ★",""))</f>
        <v/>
      </c>
    </row>
    <row r="81">
      <c r="A81" s="22" t="n"/>
      <c r="C81" s="27" t="n"/>
      <c r="F81" s="27">
        <f>IF(OR($C81="",$D81=""),"",ROUND($C81*(1+$D81/30),1))</f>
        <v/>
      </c>
      <c r="G81" s="30">
        <f>IF($F81="","",IF($F81&gt;=_xlfn.MAXIFS($F$4:$F$203,$B$4:$B$203,$B81),"PR ★",""))</f>
        <v/>
      </c>
    </row>
    <row r="82">
      <c r="A82" s="22" t="n"/>
      <c r="C82" s="27" t="n"/>
      <c r="F82" s="27">
        <f>IF(OR($C82="",$D82=""),"",ROUND($C82*(1+$D82/30),1))</f>
        <v/>
      </c>
      <c r="G82" s="30">
        <f>IF($F82="","",IF($F82&gt;=_xlfn.MAXIFS($F$4:$F$203,$B$4:$B$203,$B82),"PR ★",""))</f>
        <v/>
      </c>
    </row>
    <row r="83">
      <c r="A83" s="22" t="n"/>
      <c r="C83" s="27" t="n"/>
      <c r="F83" s="27">
        <f>IF(OR($C83="",$D83=""),"",ROUND($C83*(1+$D83/30),1))</f>
        <v/>
      </c>
      <c r="G83" s="30">
        <f>IF($F83="","",IF($F83&gt;=_xlfn.MAXIFS($F$4:$F$203,$B$4:$B$203,$B83),"PR ★",""))</f>
        <v/>
      </c>
    </row>
    <row r="84">
      <c r="A84" s="22" t="n"/>
      <c r="C84" s="27" t="n"/>
      <c r="F84" s="27">
        <f>IF(OR($C84="",$D84=""),"",ROUND($C84*(1+$D84/30),1))</f>
        <v/>
      </c>
      <c r="G84" s="30">
        <f>IF($F84="","",IF($F84&gt;=_xlfn.MAXIFS($F$4:$F$203,$B$4:$B$203,$B84),"PR ★",""))</f>
        <v/>
      </c>
    </row>
    <row r="85">
      <c r="A85" s="22" t="n"/>
      <c r="C85" s="27" t="n"/>
      <c r="F85" s="27">
        <f>IF(OR($C85="",$D85=""),"",ROUND($C85*(1+$D85/30),1))</f>
        <v/>
      </c>
      <c r="G85" s="30">
        <f>IF($F85="","",IF($F85&gt;=_xlfn.MAXIFS($F$4:$F$203,$B$4:$B$203,$B85),"PR ★",""))</f>
        <v/>
      </c>
    </row>
    <row r="86">
      <c r="A86" s="22" t="n"/>
      <c r="C86" s="27" t="n"/>
      <c r="F86" s="27">
        <f>IF(OR($C86="",$D86=""),"",ROUND($C86*(1+$D86/30),1))</f>
        <v/>
      </c>
      <c r="G86" s="30">
        <f>IF($F86="","",IF($F86&gt;=_xlfn.MAXIFS($F$4:$F$203,$B$4:$B$203,$B86),"PR ★",""))</f>
        <v/>
      </c>
    </row>
    <row r="87">
      <c r="A87" s="22" t="n"/>
      <c r="C87" s="27" t="n"/>
      <c r="F87" s="27">
        <f>IF(OR($C87="",$D87=""),"",ROUND($C87*(1+$D87/30),1))</f>
        <v/>
      </c>
      <c r="G87" s="30">
        <f>IF($F87="","",IF($F87&gt;=_xlfn.MAXIFS($F$4:$F$203,$B$4:$B$203,$B87),"PR ★",""))</f>
        <v/>
      </c>
    </row>
    <row r="88">
      <c r="A88" s="22" t="n"/>
      <c r="C88" s="27" t="n"/>
      <c r="F88" s="27">
        <f>IF(OR($C88="",$D88=""),"",ROUND($C88*(1+$D88/30),1))</f>
        <v/>
      </c>
      <c r="G88" s="30">
        <f>IF($F88="","",IF($F88&gt;=_xlfn.MAXIFS($F$4:$F$203,$B$4:$B$203,$B88),"PR ★",""))</f>
        <v/>
      </c>
    </row>
    <row r="89">
      <c r="A89" s="22" t="n"/>
      <c r="C89" s="27" t="n"/>
      <c r="F89" s="27">
        <f>IF(OR($C89="",$D89=""),"",ROUND($C89*(1+$D89/30),1))</f>
        <v/>
      </c>
      <c r="G89" s="30">
        <f>IF($F89="","",IF($F89&gt;=_xlfn.MAXIFS($F$4:$F$203,$B$4:$B$203,$B89),"PR ★",""))</f>
        <v/>
      </c>
    </row>
    <row r="90">
      <c r="A90" s="22" t="n"/>
      <c r="C90" s="27" t="n"/>
      <c r="F90" s="27">
        <f>IF(OR($C90="",$D90=""),"",ROUND($C90*(1+$D90/30),1))</f>
        <v/>
      </c>
      <c r="G90" s="30">
        <f>IF($F90="","",IF($F90&gt;=_xlfn.MAXIFS($F$4:$F$203,$B$4:$B$203,$B90),"PR ★",""))</f>
        <v/>
      </c>
    </row>
    <row r="91">
      <c r="A91" s="22" t="n"/>
      <c r="C91" s="27" t="n"/>
      <c r="F91" s="27">
        <f>IF(OR($C91="",$D91=""),"",ROUND($C91*(1+$D91/30),1))</f>
        <v/>
      </c>
      <c r="G91" s="30">
        <f>IF($F91="","",IF($F91&gt;=_xlfn.MAXIFS($F$4:$F$203,$B$4:$B$203,$B91),"PR ★",""))</f>
        <v/>
      </c>
    </row>
    <row r="92">
      <c r="A92" s="22" t="n"/>
      <c r="C92" s="27" t="n"/>
      <c r="F92" s="27">
        <f>IF(OR($C92="",$D92=""),"",ROUND($C92*(1+$D92/30),1))</f>
        <v/>
      </c>
      <c r="G92" s="30">
        <f>IF($F92="","",IF($F92&gt;=_xlfn.MAXIFS($F$4:$F$203,$B$4:$B$203,$B92),"PR ★",""))</f>
        <v/>
      </c>
    </row>
    <row r="93">
      <c r="A93" s="22" t="n"/>
      <c r="C93" s="27" t="n"/>
      <c r="F93" s="27">
        <f>IF(OR($C93="",$D93=""),"",ROUND($C93*(1+$D93/30),1))</f>
        <v/>
      </c>
      <c r="G93" s="30">
        <f>IF($F93="","",IF($F93&gt;=_xlfn.MAXIFS($F$4:$F$203,$B$4:$B$203,$B93),"PR ★",""))</f>
        <v/>
      </c>
    </row>
    <row r="94">
      <c r="A94" s="22" t="n"/>
      <c r="C94" s="27" t="n"/>
      <c r="F94" s="27">
        <f>IF(OR($C94="",$D94=""),"",ROUND($C94*(1+$D94/30),1))</f>
        <v/>
      </c>
      <c r="G94" s="30">
        <f>IF($F94="","",IF($F94&gt;=_xlfn.MAXIFS($F$4:$F$203,$B$4:$B$203,$B94),"PR ★",""))</f>
        <v/>
      </c>
    </row>
    <row r="95">
      <c r="A95" s="22" t="n"/>
      <c r="C95" s="27" t="n"/>
      <c r="F95" s="27">
        <f>IF(OR($C95="",$D95=""),"",ROUND($C95*(1+$D95/30),1))</f>
        <v/>
      </c>
      <c r="G95" s="30">
        <f>IF($F95="","",IF($F95&gt;=_xlfn.MAXIFS($F$4:$F$203,$B$4:$B$203,$B95),"PR ★",""))</f>
        <v/>
      </c>
    </row>
    <row r="96">
      <c r="A96" s="22" t="n"/>
      <c r="C96" s="27" t="n"/>
      <c r="F96" s="27">
        <f>IF(OR($C96="",$D96=""),"",ROUND($C96*(1+$D96/30),1))</f>
        <v/>
      </c>
      <c r="G96" s="30">
        <f>IF($F96="","",IF($F96&gt;=_xlfn.MAXIFS($F$4:$F$203,$B$4:$B$203,$B96),"PR ★",""))</f>
        <v/>
      </c>
    </row>
    <row r="97">
      <c r="A97" s="22" t="n"/>
      <c r="C97" s="27" t="n"/>
      <c r="F97" s="27">
        <f>IF(OR($C97="",$D97=""),"",ROUND($C97*(1+$D97/30),1))</f>
        <v/>
      </c>
      <c r="G97" s="30">
        <f>IF($F97="","",IF($F97&gt;=_xlfn.MAXIFS($F$4:$F$203,$B$4:$B$203,$B97),"PR ★",""))</f>
        <v/>
      </c>
    </row>
    <row r="98">
      <c r="A98" s="22" t="n"/>
      <c r="C98" s="27" t="n"/>
      <c r="F98" s="27">
        <f>IF(OR($C98="",$D98=""),"",ROUND($C98*(1+$D98/30),1))</f>
        <v/>
      </c>
      <c r="G98" s="30">
        <f>IF($F98="","",IF($F98&gt;=_xlfn.MAXIFS($F$4:$F$203,$B$4:$B$203,$B98),"PR ★",""))</f>
        <v/>
      </c>
    </row>
    <row r="99">
      <c r="A99" s="22" t="n"/>
      <c r="C99" s="27" t="n"/>
      <c r="F99" s="27">
        <f>IF(OR($C99="",$D99=""),"",ROUND($C99*(1+$D99/30),1))</f>
        <v/>
      </c>
      <c r="G99" s="30">
        <f>IF($F99="","",IF($F99&gt;=_xlfn.MAXIFS($F$4:$F$203,$B$4:$B$203,$B99),"PR ★",""))</f>
        <v/>
      </c>
    </row>
    <row r="100">
      <c r="A100" s="22" t="n"/>
      <c r="C100" s="27" t="n"/>
      <c r="F100" s="27">
        <f>IF(OR($C100="",$D100=""),"",ROUND($C100*(1+$D100/30),1))</f>
        <v/>
      </c>
      <c r="G100" s="30">
        <f>IF($F100="","",IF($F100&gt;=_xlfn.MAXIFS($F$4:$F$203,$B$4:$B$203,$B100),"PR ★",""))</f>
        <v/>
      </c>
    </row>
    <row r="101">
      <c r="A101" s="22" t="n"/>
      <c r="C101" s="27" t="n"/>
      <c r="F101" s="27">
        <f>IF(OR($C101="",$D101=""),"",ROUND($C101*(1+$D101/30),1))</f>
        <v/>
      </c>
      <c r="G101" s="30">
        <f>IF($F101="","",IF($F101&gt;=_xlfn.MAXIFS($F$4:$F$203,$B$4:$B$203,$B101),"PR ★",""))</f>
        <v/>
      </c>
    </row>
    <row r="102">
      <c r="A102" s="22" t="n"/>
      <c r="C102" s="27" t="n"/>
      <c r="F102" s="27">
        <f>IF(OR($C102="",$D102=""),"",ROUND($C102*(1+$D102/30),1))</f>
        <v/>
      </c>
      <c r="G102" s="30">
        <f>IF($F102="","",IF($F102&gt;=_xlfn.MAXIFS($F$4:$F$203,$B$4:$B$203,$B102),"PR ★",""))</f>
        <v/>
      </c>
    </row>
    <row r="103">
      <c r="A103" s="22" t="n"/>
      <c r="C103" s="27" t="n"/>
      <c r="F103" s="27">
        <f>IF(OR($C103="",$D103=""),"",ROUND($C103*(1+$D103/30),1))</f>
        <v/>
      </c>
      <c r="G103" s="30">
        <f>IF($F103="","",IF($F103&gt;=_xlfn.MAXIFS($F$4:$F$203,$B$4:$B$203,$B103),"PR ★",""))</f>
        <v/>
      </c>
    </row>
    <row r="104">
      <c r="A104" s="22" t="n"/>
      <c r="C104" s="27" t="n"/>
      <c r="F104" s="27">
        <f>IF(OR($C104="",$D104=""),"",ROUND($C104*(1+$D104/30),1))</f>
        <v/>
      </c>
      <c r="G104" s="30">
        <f>IF($F104="","",IF($F104&gt;=_xlfn.MAXIFS($F$4:$F$203,$B$4:$B$203,$B104),"PR ★",""))</f>
        <v/>
      </c>
    </row>
    <row r="105">
      <c r="A105" s="22" t="n"/>
      <c r="C105" s="27" t="n"/>
      <c r="F105" s="27">
        <f>IF(OR($C105="",$D105=""),"",ROUND($C105*(1+$D105/30),1))</f>
        <v/>
      </c>
      <c r="G105" s="30">
        <f>IF($F105="","",IF($F105&gt;=_xlfn.MAXIFS($F$4:$F$203,$B$4:$B$203,$B105),"PR ★",""))</f>
        <v/>
      </c>
    </row>
    <row r="106">
      <c r="A106" s="22" t="n"/>
      <c r="C106" s="27" t="n"/>
      <c r="F106" s="27">
        <f>IF(OR($C106="",$D106=""),"",ROUND($C106*(1+$D106/30),1))</f>
        <v/>
      </c>
      <c r="G106" s="30">
        <f>IF($F106="","",IF($F106&gt;=_xlfn.MAXIFS($F$4:$F$203,$B$4:$B$203,$B106),"PR ★",""))</f>
        <v/>
      </c>
    </row>
    <row r="107">
      <c r="A107" s="22" t="n"/>
      <c r="C107" s="27" t="n"/>
      <c r="F107" s="27">
        <f>IF(OR($C107="",$D107=""),"",ROUND($C107*(1+$D107/30),1))</f>
        <v/>
      </c>
      <c r="G107" s="30">
        <f>IF($F107="","",IF($F107&gt;=_xlfn.MAXIFS($F$4:$F$203,$B$4:$B$203,$B107),"PR ★",""))</f>
        <v/>
      </c>
    </row>
    <row r="108">
      <c r="A108" s="22" t="n"/>
      <c r="C108" s="27" t="n"/>
      <c r="F108" s="27">
        <f>IF(OR($C108="",$D108=""),"",ROUND($C108*(1+$D108/30),1))</f>
        <v/>
      </c>
      <c r="G108" s="30">
        <f>IF($F108="","",IF($F108&gt;=_xlfn.MAXIFS($F$4:$F$203,$B$4:$B$203,$B108),"PR ★",""))</f>
        <v/>
      </c>
    </row>
    <row r="109">
      <c r="A109" s="22" t="n"/>
      <c r="C109" s="27" t="n"/>
      <c r="F109" s="27">
        <f>IF(OR($C109="",$D109=""),"",ROUND($C109*(1+$D109/30),1))</f>
        <v/>
      </c>
      <c r="G109" s="30">
        <f>IF($F109="","",IF($F109&gt;=_xlfn.MAXIFS($F$4:$F$203,$B$4:$B$203,$B109),"PR ★",""))</f>
        <v/>
      </c>
    </row>
    <row r="110">
      <c r="A110" s="22" t="n"/>
      <c r="C110" s="27" t="n"/>
      <c r="F110" s="27">
        <f>IF(OR($C110="",$D110=""),"",ROUND($C110*(1+$D110/30),1))</f>
        <v/>
      </c>
      <c r="G110" s="30">
        <f>IF($F110="","",IF($F110&gt;=_xlfn.MAXIFS($F$4:$F$203,$B$4:$B$203,$B110),"PR ★",""))</f>
        <v/>
      </c>
    </row>
    <row r="111">
      <c r="A111" s="22" t="n"/>
      <c r="C111" s="27" t="n"/>
      <c r="F111" s="27">
        <f>IF(OR($C111="",$D111=""),"",ROUND($C111*(1+$D111/30),1))</f>
        <v/>
      </c>
      <c r="G111" s="30">
        <f>IF($F111="","",IF($F111&gt;=_xlfn.MAXIFS($F$4:$F$203,$B$4:$B$203,$B111),"PR ★",""))</f>
        <v/>
      </c>
    </row>
    <row r="112">
      <c r="A112" s="22" t="n"/>
      <c r="C112" s="27" t="n"/>
      <c r="F112" s="27">
        <f>IF(OR($C112="",$D112=""),"",ROUND($C112*(1+$D112/30),1))</f>
        <v/>
      </c>
      <c r="G112" s="30">
        <f>IF($F112="","",IF($F112&gt;=_xlfn.MAXIFS($F$4:$F$203,$B$4:$B$203,$B112),"PR ★",""))</f>
        <v/>
      </c>
    </row>
    <row r="113">
      <c r="A113" s="22" t="n"/>
      <c r="C113" s="27" t="n"/>
      <c r="F113" s="27">
        <f>IF(OR($C113="",$D113=""),"",ROUND($C113*(1+$D113/30),1))</f>
        <v/>
      </c>
      <c r="G113" s="30">
        <f>IF($F113="","",IF($F113&gt;=_xlfn.MAXIFS($F$4:$F$203,$B$4:$B$203,$B113),"PR ★",""))</f>
        <v/>
      </c>
    </row>
    <row r="114">
      <c r="A114" s="22" t="n"/>
      <c r="C114" s="27" t="n"/>
      <c r="F114" s="27">
        <f>IF(OR($C114="",$D114=""),"",ROUND($C114*(1+$D114/30),1))</f>
        <v/>
      </c>
      <c r="G114" s="30">
        <f>IF($F114="","",IF($F114&gt;=_xlfn.MAXIFS($F$4:$F$203,$B$4:$B$203,$B114),"PR ★",""))</f>
        <v/>
      </c>
    </row>
    <row r="115">
      <c r="A115" s="22" t="n"/>
      <c r="C115" s="27" t="n"/>
      <c r="F115" s="27">
        <f>IF(OR($C115="",$D115=""),"",ROUND($C115*(1+$D115/30),1))</f>
        <v/>
      </c>
      <c r="G115" s="30">
        <f>IF($F115="","",IF($F115&gt;=_xlfn.MAXIFS($F$4:$F$203,$B$4:$B$203,$B115),"PR ★",""))</f>
        <v/>
      </c>
    </row>
    <row r="116">
      <c r="A116" s="22" t="n"/>
      <c r="C116" s="27" t="n"/>
      <c r="F116" s="27">
        <f>IF(OR($C116="",$D116=""),"",ROUND($C116*(1+$D116/30),1))</f>
        <v/>
      </c>
      <c r="G116" s="30">
        <f>IF($F116="","",IF($F116&gt;=_xlfn.MAXIFS($F$4:$F$203,$B$4:$B$203,$B116),"PR ★",""))</f>
        <v/>
      </c>
    </row>
    <row r="117">
      <c r="A117" s="22" t="n"/>
      <c r="C117" s="27" t="n"/>
      <c r="F117" s="27">
        <f>IF(OR($C117="",$D117=""),"",ROUND($C117*(1+$D117/30),1))</f>
        <v/>
      </c>
      <c r="G117" s="30">
        <f>IF($F117="","",IF($F117&gt;=_xlfn.MAXIFS($F$4:$F$203,$B$4:$B$203,$B117),"PR ★",""))</f>
        <v/>
      </c>
    </row>
    <row r="118">
      <c r="A118" s="22" t="n"/>
      <c r="C118" s="27" t="n"/>
      <c r="F118" s="27">
        <f>IF(OR($C118="",$D118=""),"",ROUND($C118*(1+$D118/30),1))</f>
        <v/>
      </c>
      <c r="G118" s="30">
        <f>IF($F118="","",IF($F118&gt;=_xlfn.MAXIFS($F$4:$F$203,$B$4:$B$203,$B118),"PR ★",""))</f>
        <v/>
      </c>
    </row>
    <row r="119">
      <c r="A119" s="22" t="n"/>
      <c r="C119" s="27" t="n"/>
      <c r="F119" s="27">
        <f>IF(OR($C119="",$D119=""),"",ROUND($C119*(1+$D119/30),1))</f>
        <v/>
      </c>
      <c r="G119" s="30">
        <f>IF($F119="","",IF($F119&gt;=_xlfn.MAXIFS($F$4:$F$203,$B$4:$B$203,$B119),"PR ★",""))</f>
        <v/>
      </c>
    </row>
    <row r="120">
      <c r="A120" s="22" t="n"/>
      <c r="C120" s="27" t="n"/>
      <c r="F120" s="27">
        <f>IF(OR($C120="",$D120=""),"",ROUND($C120*(1+$D120/30),1))</f>
        <v/>
      </c>
      <c r="G120" s="30">
        <f>IF($F120="","",IF($F120&gt;=_xlfn.MAXIFS($F$4:$F$203,$B$4:$B$203,$B120),"PR ★",""))</f>
        <v/>
      </c>
    </row>
    <row r="121">
      <c r="A121" s="22" t="n"/>
      <c r="C121" s="27" t="n"/>
      <c r="F121" s="27">
        <f>IF(OR($C121="",$D121=""),"",ROUND($C121*(1+$D121/30),1))</f>
        <v/>
      </c>
      <c r="G121" s="30">
        <f>IF($F121="","",IF($F121&gt;=_xlfn.MAXIFS($F$4:$F$203,$B$4:$B$203,$B121),"PR ★",""))</f>
        <v/>
      </c>
    </row>
    <row r="122">
      <c r="A122" s="22" t="n"/>
      <c r="C122" s="27" t="n"/>
      <c r="F122" s="27">
        <f>IF(OR($C122="",$D122=""),"",ROUND($C122*(1+$D122/30),1))</f>
        <v/>
      </c>
      <c r="G122" s="30">
        <f>IF($F122="","",IF($F122&gt;=_xlfn.MAXIFS($F$4:$F$203,$B$4:$B$203,$B122),"PR ★",""))</f>
        <v/>
      </c>
    </row>
    <row r="123">
      <c r="A123" s="22" t="n"/>
      <c r="C123" s="27" t="n"/>
      <c r="F123" s="27">
        <f>IF(OR($C123="",$D123=""),"",ROUND($C123*(1+$D123/30),1))</f>
        <v/>
      </c>
      <c r="G123" s="30">
        <f>IF($F123="","",IF($F123&gt;=_xlfn.MAXIFS($F$4:$F$203,$B$4:$B$203,$B123),"PR ★",""))</f>
        <v/>
      </c>
    </row>
    <row r="124">
      <c r="A124" s="22" t="n"/>
      <c r="C124" s="27" t="n"/>
      <c r="F124" s="27">
        <f>IF(OR($C124="",$D124=""),"",ROUND($C124*(1+$D124/30),1))</f>
        <v/>
      </c>
      <c r="G124" s="30">
        <f>IF($F124="","",IF($F124&gt;=_xlfn.MAXIFS($F$4:$F$203,$B$4:$B$203,$B124),"PR ★",""))</f>
        <v/>
      </c>
    </row>
    <row r="125">
      <c r="A125" s="22" t="n"/>
      <c r="C125" s="27" t="n"/>
      <c r="F125" s="27">
        <f>IF(OR($C125="",$D125=""),"",ROUND($C125*(1+$D125/30),1))</f>
        <v/>
      </c>
      <c r="G125" s="30">
        <f>IF($F125="","",IF($F125&gt;=_xlfn.MAXIFS($F$4:$F$203,$B$4:$B$203,$B125),"PR ★",""))</f>
        <v/>
      </c>
    </row>
    <row r="126">
      <c r="A126" s="22" t="n"/>
      <c r="C126" s="27" t="n"/>
      <c r="F126" s="27">
        <f>IF(OR($C126="",$D126=""),"",ROUND($C126*(1+$D126/30),1))</f>
        <v/>
      </c>
      <c r="G126" s="30">
        <f>IF($F126="","",IF($F126&gt;=_xlfn.MAXIFS($F$4:$F$203,$B$4:$B$203,$B126),"PR ★",""))</f>
        <v/>
      </c>
    </row>
    <row r="127">
      <c r="A127" s="22" t="n"/>
      <c r="C127" s="27" t="n"/>
      <c r="F127" s="27">
        <f>IF(OR($C127="",$D127=""),"",ROUND($C127*(1+$D127/30),1))</f>
        <v/>
      </c>
      <c r="G127" s="30">
        <f>IF($F127="","",IF($F127&gt;=_xlfn.MAXIFS($F$4:$F$203,$B$4:$B$203,$B127),"PR ★",""))</f>
        <v/>
      </c>
    </row>
    <row r="128">
      <c r="A128" s="22" t="n"/>
      <c r="C128" s="27" t="n"/>
      <c r="F128" s="27">
        <f>IF(OR($C128="",$D128=""),"",ROUND($C128*(1+$D128/30),1))</f>
        <v/>
      </c>
      <c r="G128" s="30">
        <f>IF($F128="","",IF($F128&gt;=_xlfn.MAXIFS($F$4:$F$203,$B$4:$B$203,$B128),"PR ★",""))</f>
        <v/>
      </c>
    </row>
    <row r="129">
      <c r="A129" s="22" t="n"/>
      <c r="C129" s="27" t="n"/>
      <c r="F129" s="27">
        <f>IF(OR($C129="",$D129=""),"",ROUND($C129*(1+$D129/30),1))</f>
        <v/>
      </c>
      <c r="G129" s="30">
        <f>IF($F129="","",IF($F129&gt;=_xlfn.MAXIFS($F$4:$F$203,$B$4:$B$203,$B129),"PR ★",""))</f>
        <v/>
      </c>
    </row>
    <row r="130">
      <c r="A130" s="22" t="n"/>
      <c r="C130" s="27" t="n"/>
      <c r="F130" s="27">
        <f>IF(OR($C130="",$D130=""),"",ROUND($C130*(1+$D130/30),1))</f>
        <v/>
      </c>
      <c r="G130" s="30">
        <f>IF($F130="","",IF($F130&gt;=_xlfn.MAXIFS($F$4:$F$203,$B$4:$B$203,$B130),"PR ★",""))</f>
        <v/>
      </c>
    </row>
    <row r="131">
      <c r="A131" s="22" t="n"/>
      <c r="C131" s="27" t="n"/>
      <c r="F131" s="27">
        <f>IF(OR($C131="",$D131=""),"",ROUND($C131*(1+$D131/30),1))</f>
        <v/>
      </c>
      <c r="G131" s="30">
        <f>IF($F131="","",IF($F131&gt;=_xlfn.MAXIFS($F$4:$F$203,$B$4:$B$203,$B131),"PR ★",""))</f>
        <v/>
      </c>
    </row>
    <row r="132">
      <c r="A132" s="22" t="n"/>
      <c r="C132" s="27" t="n"/>
      <c r="F132" s="27">
        <f>IF(OR($C132="",$D132=""),"",ROUND($C132*(1+$D132/30),1))</f>
        <v/>
      </c>
      <c r="G132" s="30">
        <f>IF($F132="","",IF($F132&gt;=_xlfn.MAXIFS($F$4:$F$203,$B$4:$B$203,$B132),"PR ★",""))</f>
        <v/>
      </c>
    </row>
    <row r="133">
      <c r="A133" s="22" t="n"/>
      <c r="C133" s="27" t="n"/>
      <c r="F133" s="27">
        <f>IF(OR($C133="",$D133=""),"",ROUND($C133*(1+$D133/30),1))</f>
        <v/>
      </c>
      <c r="G133" s="30">
        <f>IF($F133="","",IF($F133&gt;=_xlfn.MAXIFS($F$4:$F$203,$B$4:$B$203,$B133),"PR ★",""))</f>
        <v/>
      </c>
    </row>
    <row r="134">
      <c r="A134" s="22" t="n"/>
      <c r="C134" s="27" t="n"/>
      <c r="F134" s="27">
        <f>IF(OR($C134="",$D134=""),"",ROUND($C134*(1+$D134/30),1))</f>
        <v/>
      </c>
      <c r="G134" s="30">
        <f>IF($F134="","",IF($F134&gt;=_xlfn.MAXIFS($F$4:$F$203,$B$4:$B$203,$B134),"PR ★",""))</f>
        <v/>
      </c>
    </row>
    <row r="135">
      <c r="A135" s="22" t="n"/>
      <c r="C135" s="27" t="n"/>
      <c r="F135" s="27">
        <f>IF(OR($C135="",$D135=""),"",ROUND($C135*(1+$D135/30),1))</f>
        <v/>
      </c>
      <c r="G135" s="30">
        <f>IF($F135="","",IF($F135&gt;=_xlfn.MAXIFS($F$4:$F$203,$B$4:$B$203,$B135),"PR ★",""))</f>
        <v/>
      </c>
    </row>
    <row r="136">
      <c r="A136" s="22" t="n"/>
      <c r="C136" s="27" t="n"/>
      <c r="F136" s="27">
        <f>IF(OR($C136="",$D136=""),"",ROUND($C136*(1+$D136/30),1))</f>
        <v/>
      </c>
      <c r="G136" s="30">
        <f>IF($F136="","",IF($F136&gt;=_xlfn.MAXIFS($F$4:$F$203,$B$4:$B$203,$B136),"PR ★",""))</f>
        <v/>
      </c>
    </row>
    <row r="137">
      <c r="A137" s="22" t="n"/>
      <c r="C137" s="27" t="n"/>
      <c r="F137" s="27">
        <f>IF(OR($C137="",$D137=""),"",ROUND($C137*(1+$D137/30),1))</f>
        <v/>
      </c>
      <c r="G137" s="30">
        <f>IF($F137="","",IF($F137&gt;=_xlfn.MAXIFS($F$4:$F$203,$B$4:$B$203,$B137),"PR ★",""))</f>
        <v/>
      </c>
    </row>
    <row r="138">
      <c r="A138" s="22" t="n"/>
      <c r="C138" s="27" t="n"/>
      <c r="F138" s="27">
        <f>IF(OR($C138="",$D138=""),"",ROUND($C138*(1+$D138/30),1))</f>
        <v/>
      </c>
      <c r="G138" s="30">
        <f>IF($F138="","",IF($F138&gt;=_xlfn.MAXIFS($F$4:$F$203,$B$4:$B$203,$B138),"PR ★",""))</f>
        <v/>
      </c>
    </row>
    <row r="139">
      <c r="A139" s="22" t="n"/>
      <c r="C139" s="27" t="n"/>
      <c r="F139" s="27">
        <f>IF(OR($C139="",$D139=""),"",ROUND($C139*(1+$D139/30),1))</f>
        <v/>
      </c>
      <c r="G139" s="30">
        <f>IF($F139="","",IF($F139&gt;=_xlfn.MAXIFS($F$4:$F$203,$B$4:$B$203,$B139),"PR ★",""))</f>
        <v/>
      </c>
    </row>
    <row r="140">
      <c r="A140" s="22" t="n"/>
      <c r="C140" s="27" t="n"/>
      <c r="F140" s="27">
        <f>IF(OR($C140="",$D140=""),"",ROUND($C140*(1+$D140/30),1))</f>
        <v/>
      </c>
      <c r="G140" s="30">
        <f>IF($F140="","",IF($F140&gt;=_xlfn.MAXIFS($F$4:$F$203,$B$4:$B$203,$B140),"PR ★",""))</f>
        <v/>
      </c>
    </row>
    <row r="141">
      <c r="A141" s="22" t="n"/>
      <c r="C141" s="27" t="n"/>
      <c r="F141" s="27">
        <f>IF(OR($C141="",$D141=""),"",ROUND($C141*(1+$D141/30),1))</f>
        <v/>
      </c>
      <c r="G141" s="30">
        <f>IF($F141="","",IF($F141&gt;=_xlfn.MAXIFS($F$4:$F$203,$B$4:$B$203,$B141),"PR ★",""))</f>
        <v/>
      </c>
    </row>
    <row r="142">
      <c r="A142" s="22" t="n"/>
      <c r="C142" s="27" t="n"/>
      <c r="F142" s="27">
        <f>IF(OR($C142="",$D142=""),"",ROUND($C142*(1+$D142/30),1))</f>
        <v/>
      </c>
      <c r="G142" s="30">
        <f>IF($F142="","",IF($F142&gt;=_xlfn.MAXIFS($F$4:$F$203,$B$4:$B$203,$B142),"PR ★",""))</f>
        <v/>
      </c>
    </row>
    <row r="143">
      <c r="A143" s="22" t="n"/>
      <c r="C143" s="27" t="n"/>
      <c r="F143" s="27">
        <f>IF(OR($C143="",$D143=""),"",ROUND($C143*(1+$D143/30),1))</f>
        <v/>
      </c>
      <c r="G143" s="30">
        <f>IF($F143="","",IF($F143&gt;=_xlfn.MAXIFS($F$4:$F$203,$B$4:$B$203,$B143),"PR ★",""))</f>
        <v/>
      </c>
    </row>
    <row r="144">
      <c r="A144" s="22" t="n"/>
      <c r="C144" s="27" t="n"/>
      <c r="F144" s="27">
        <f>IF(OR($C144="",$D144=""),"",ROUND($C144*(1+$D144/30),1))</f>
        <v/>
      </c>
      <c r="G144" s="30">
        <f>IF($F144="","",IF($F144&gt;=_xlfn.MAXIFS($F$4:$F$203,$B$4:$B$203,$B144),"PR ★",""))</f>
        <v/>
      </c>
    </row>
    <row r="145">
      <c r="A145" s="22" t="n"/>
      <c r="C145" s="27" t="n"/>
      <c r="F145" s="27">
        <f>IF(OR($C145="",$D145=""),"",ROUND($C145*(1+$D145/30),1))</f>
        <v/>
      </c>
      <c r="G145" s="30">
        <f>IF($F145="","",IF($F145&gt;=_xlfn.MAXIFS($F$4:$F$203,$B$4:$B$203,$B145),"PR ★",""))</f>
        <v/>
      </c>
    </row>
    <row r="146">
      <c r="A146" s="22" t="n"/>
      <c r="C146" s="27" t="n"/>
      <c r="F146" s="27">
        <f>IF(OR($C146="",$D146=""),"",ROUND($C146*(1+$D146/30),1))</f>
        <v/>
      </c>
      <c r="G146" s="30">
        <f>IF($F146="","",IF($F146&gt;=_xlfn.MAXIFS($F$4:$F$203,$B$4:$B$203,$B146),"PR ★",""))</f>
        <v/>
      </c>
    </row>
    <row r="147">
      <c r="A147" s="22" t="n"/>
      <c r="C147" s="27" t="n"/>
      <c r="F147" s="27">
        <f>IF(OR($C147="",$D147=""),"",ROUND($C147*(1+$D147/30),1))</f>
        <v/>
      </c>
      <c r="G147" s="30">
        <f>IF($F147="","",IF($F147&gt;=_xlfn.MAXIFS($F$4:$F$203,$B$4:$B$203,$B147),"PR ★",""))</f>
        <v/>
      </c>
    </row>
    <row r="148">
      <c r="A148" s="22" t="n"/>
      <c r="C148" s="27" t="n"/>
      <c r="F148" s="27">
        <f>IF(OR($C148="",$D148=""),"",ROUND($C148*(1+$D148/30),1))</f>
        <v/>
      </c>
      <c r="G148" s="30">
        <f>IF($F148="","",IF($F148&gt;=_xlfn.MAXIFS($F$4:$F$203,$B$4:$B$203,$B148),"PR ★",""))</f>
        <v/>
      </c>
    </row>
    <row r="149">
      <c r="A149" s="22" t="n"/>
      <c r="C149" s="27" t="n"/>
      <c r="F149" s="27">
        <f>IF(OR($C149="",$D149=""),"",ROUND($C149*(1+$D149/30),1))</f>
        <v/>
      </c>
      <c r="G149" s="30">
        <f>IF($F149="","",IF($F149&gt;=_xlfn.MAXIFS($F$4:$F$203,$B$4:$B$203,$B149),"PR ★",""))</f>
        <v/>
      </c>
    </row>
    <row r="150">
      <c r="A150" s="22" t="n"/>
      <c r="C150" s="27" t="n"/>
      <c r="F150" s="27">
        <f>IF(OR($C150="",$D150=""),"",ROUND($C150*(1+$D150/30),1))</f>
        <v/>
      </c>
      <c r="G150" s="30">
        <f>IF($F150="","",IF($F150&gt;=_xlfn.MAXIFS($F$4:$F$203,$B$4:$B$203,$B150),"PR ★",""))</f>
        <v/>
      </c>
    </row>
    <row r="151">
      <c r="A151" s="22" t="n"/>
      <c r="C151" s="27" t="n"/>
      <c r="F151" s="27">
        <f>IF(OR($C151="",$D151=""),"",ROUND($C151*(1+$D151/30),1))</f>
        <v/>
      </c>
      <c r="G151" s="30">
        <f>IF($F151="","",IF($F151&gt;=_xlfn.MAXIFS($F$4:$F$203,$B$4:$B$203,$B151),"PR ★",""))</f>
        <v/>
      </c>
    </row>
    <row r="152">
      <c r="A152" s="22" t="n"/>
      <c r="C152" s="27" t="n"/>
      <c r="F152" s="27">
        <f>IF(OR($C152="",$D152=""),"",ROUND($C152*(1+$D152/30),1))</f>
        <v/>
      </c>
      <c r="G152" s="30">
        <f>IF($F152="","",IF($F152&gt;=_xlfn.MAXIFS($F$4:$F$203,$B$4:$B$203,$B152),"PR ★",""))</f>
        <v/>
      </c>
    </row>
    <row r="153">
      <c r="A153" s="22" t="n"/>
      <c r="C153" s="27" t="n"/>
      <c r="F153" s="27">
        <f>IF(OR($C153="",$D153=""),"",ROUND($C153*(1+$D153/30),1))</f>
        <v/>
      </c>
      <c r="G153" s="30">
        <f>IF($F153="","",IF($F153&gt;=_xlfn.MAXIFS($F$4:$F$203,$B$4:$B$203,$B153),"PR ★",""))</f>
        <v/>
      </c>
    </row>
    <row r="154">
      <c r="A154" s="22" t="n"/>
      <c r="C154" s="27" t="n"/>
      <c r="F154" s="27">
        <f>IF(OR($C154="",$D154=""),"",ROUND($C154*(1+$D154/30),1))</f>
        <v/>
      </c>
      <c r="G154" s="30">
        <f>IF($F154="","",IF($F154&gt;=_xlfn.MAXIFS($F$4:$F$203,$B$4:$B$203,$B154),"PR ★",""))</f>
        <v/>
      </c>
    </row>
    <row r="155">
      <c r="A155" s="22" t="n"/>
      <c r="C155" s="27" t="n"/>
      <c r="F155" s="27">
        <f>IF(OR($C155="",$D155=""),"",ROUND($C155*(1+$D155/30),1))</f>
        <v/>
      </c>
      <c r="G155" s="30">
        <f>IF($F155="","",IF($F155&gt;=_xlfn.MAXIFS($F$4:$F$203,$B$4:$B$203,$B155),"PR ★",""))</f>
        <v/>
      </c>
    </row>
    <row r="156">
      <c r="A156" s="22" t="n"/>
      <c r="C156" s="27" t="n"/>
      <c r="F156" s="27">
        <f>IF(OR($C156="",$D156=""),"",ROUND($C156*(1+$D156/30),1))</f>
        <v/>
      </c>
      <c r="G156" s="30">
        <f>IF($F156="","",IF($F156&gt;=_xlfn.MAXIFS($F$4:$F$203,$B$4:$B$203,$B156),"PR ★",""))</f>
        <v/>
      </c>
    </row>
    <row r="157">
      <c r="A157" s="22" t="n"/>
      <c r="C157" s="27" t="n"/>
      <c r="F157" s="27">
        <f>IF(OR($C157="",$D157=""),"",ROUND($C157*(1+$D157/30),1))</f>
        <v/>
      </c>
      <c r="G157" s="30">
        <f>IF($F157="","",IF($F157&gt;=_xlfn.MAXIFS($F$4:$F$203,$B$4:$B$203,$B157),"PR ★",""))</f>
        <v/>
      </c>
    </row>
    <row r="158">
      <c r="A158" s="22" t="n"/>
      <c r="C158" s="27" t="n"/>
      <c r="F158" s="27">
        <f>IF(OR($C158="",$D158=""),"",ROUND($C158*(1+$D158/30),1))</f>
        <v/>
      </c>
      <c r="G158" s="30">
        <f>IF($F158="","",IF($F158&gt;=_xlfn.MAXIFS($F$4:$F$203,$B$4:$B$203,$B158),"PR ★",""))</f>
        <v/>
      </c>
    </row>
    <row r="159">
      <c r="A159" s="22" t="n"/>
      <c r="C159" s="27" t="n"/>
      <c r="F159" s="27">
        <f>IF(OR($C159="",$D159=""),"",ROUND($C159*(1+$D159/30),1))</f>
        <v/>
      </c>
      <c r="G159" s="30">
        <f>IF($F159="","",IF($F159&gt;=_xlfn.MAXIFS($F$4:$F$203,$B$4:$B$203,$B159),"PR ★",""))</f>
        <v/>
      </c>
    </row>
    <row r="160">
      <c r="A160" s="22" t="n"/>
      <c r="C160" s="27" t="n"/>
      <c r="F160" s="27">
        <f>IF(OR($C160="",$D160=""),"",ROUND($C160*(1+$D160/30),1))</f>
        <v/>
      </c>
      <c r="G160" s="30">
        <f>IF($F160="","",IF($F160&gt;=_xlfn.MAXIFS($F$4:$F$203,$B$4:$B$203,$B160),"PR ★",""))</f>
        <v/>
      </c>
    </row>
    <row r="161">
      <c r="A161" s="22" t="n"/>
      <c r="C161" s="27" t="n"/>
      <c r="F161" s="27">
        <f>IF(OR($C161="",$D161=""),"",ROUND($C161*(1+$D161/30),1))</f>
        <v/>
      </c>
      <c r="G161" s="30">
        <f>IF($F161="","",IF($F161&gt;=_xlfn.MAXIFS($F$4:$F$203,$B$4:$B$203,$B161),"PR ★",""))</f>
        <v/>
      </c>
    </row>
    <row r="162">
      <c r="A162" s="22" t="n"/>
      <c r="C162" s="27" t="n"/>
      <c r="F162" s="27">
        <f>IF(OR($C162="",$D162=""),"",ROUND($C162*(1+$D162/30),1))</f>
        <v/>
      </c>
      <c r="G162" s="30">
        <f>IF($F162="","",IF($F162&gt;=_xlfn.MAXIFS($F$4:$F$203,$B$4:$B$203,$B162),"PR ★",""))</f>
        <v/>
      </c>
    </row>
    <row r="163">
      <c r="A163" s="22" t="n"/>
      <c r="C163" s="27" t="n"/>
      <c r="F163" s="27">
        <f>IF(OR($C163="",$D163=""),"",ROUND($C163*(1+$D163/30),1))</f>
        <v/>
      </c>
      <c r="G163" s="30">
        <f>IF($F163="","",IF($F163&gt;=_xlfn.MAXIFS($F$4:$F$203,$B$4:$B$203,$B163),"PR ★",""))</f>
        <v/>
      </c>
    </row>
    <row r="164">
      <c r="A164" s="22" t="n"/>
      <c r="C164" s="27" t="n"/>
      <c r="F164" s="27">
        <f>IF(OR($C164="",$D164=""),"",ROUND($C164*(1+$D164/30),1))</f>
        <v/>
      </c>
      <c r="G164" s="30">
        <f>IF($F164="","",IF($F164&gt;=_xlfn.MAXIFS($F$4:$F$203,$B$4:$B$203,$B164),"PR ★",""))</f>
        <v/>
      </c>
    </row>
    <row r="165">
      <c r="A165" s="22" t="n"/>
      <c r="C165" s="27" t="n"/>
      <c r="F165" s="27">
        <f>IF(OR($C165="",$D165=""),"",ROUND($C165*(1+$D165/30),1))</f>
        <v/>
      </c>
      <c r="G165" s="30">
        <f>IF($F165="","",IF($F165&gt;=_xlfn.MAXIFS($F$4:$F$203,$B$4:$B$203,$B165),"PR ★",""))</f>
        <v/>
      </c>
    </row>
    <row r="166">
      <c r="A166" s="22" t="n"/>
      <c r="C166" s="27" t="n"/>
      <c r="F166" s="27">
        <f>IF(OR($C166="",$D166=""),"",ROUND($C166*(1+$D166/30),1))</f>
        <v/>
      </c>
      <c r="G166" s="30">
        <f>IF($F166="","",IF($F166&gt;=_xlfn.MAXIFS($F$4:$F$203,$B$4:$B$203,$B166),"PR ★",""))</f>
        <v/>
      </c>
    </row>
    <row r="167">
      <c r="A167" s="22" t="n"/>
      <c r="C167" s="27" t="n"/>
      <c r="F167" s="27">
        <f>IF(OR($C167="",$D167=""),"",ROUND($C167*(1+$D167/30),1))</f>
        <v/>
      </c>
      <c r="G167" s="30">
        <f>IF($F167="","",IF($F167&gt;=_xlfn.MAXIFS($F$4:$F$203,$B$4:$B$203,$B167),"PR ★",""))</f>
        <v/>
      </c>
    </row>
    <row r="168">
      <c r="A168" s="22" t="n"/>
      <c r="C168" s="27" t="n"/>
      <c r="F168" s="27">
        <f>IF(OR($C168="",$D168=""),"",ROUND($C168*(1+$D168/30),1))</f>
        <v/>
      </c>
      <c r="G168" s="30">
        <f>IF($F168="","",IF($F168&gt;=_xlfn.MAXIFS($F$4:$F$203,$B$4:$B$203,$B168),"PR ★",""))</f>
        <v/>
      </c>
    </row>
    <row r="169">
      <c r="A169" s="22" t="n"/>
      <c r="C169" s="27" t="n"/>
      <c r="F169" s="27">
        <f>IF(OR($C169="",$D169=""),"",ROUND($C169*(1+$D169/30),1))</f>
        <v/>
      </c>
      <c r="G169" s="30">
        <f>IF($F169="","",IF($F169&gt;=_xlfn.MAXIFS($F$4:$F$203,$B$4:$B$203,$B169),"PR ★",""))</f>
        <v/>
      </c>
    </row>
    <row r="170">
      <c r="A170" s="22" t="n"/>
      <c r="C170" s="27" t="n"/>
      <c r="F170" s="27">
        <f>IF(OR($C170="",$D170=""),"",ROUND($C170*(1+$D170/30),1))</f>
        <v/>
      </c>
      <c r="G170" s="30">
        <f>IF($F170="","",IF($F170&gt;=_xlfn.MAXIFS($F$4:$F$203,$B$4:$B$203,$B170),"PR ★",""))</f>
        <v/>
      </c>
    </row>
    <row r="171">
      <c r="A171" s="22" t="n"/>
      <c r="C171" s="27" t="n"/>
      <c r="F171" s="27">
        <f>IF(OR($C171="",$D171=""),"",ROUND($C171*(1+$D171/30),1))</f>
        <v/>
      </c>
      <c r="G171" s="30">
        <f>IF($F171="","",IF($F171&gt;=_xlfn.MAXIFS($F$4:$F$203,$B$4:$B$203,$B171),"PR ★",""))</f>
        <v/>
      </c>
    </row>
    <row r="172">
      <c r="A172" s="22" t="n"/>
      <c r="C172" s="27" t="n"/>
      <c r="F172" s="27">
        <f>IF(OR($C172="",$D172=""),"",ROUND($C172*(1+$D172/30),1))</f>
        <v/>
      </c>
      <c r="G172" s="30">
        <f>IF($F172="","",IF($F172&gt;=_xlfn.MAXIFS($F$4:$F$203,$B$4:$B$203,$B172),"PR ★",""))</f>
        <v/>
      </c>
    </row>
    <row r="173">
      <c r="A173" s="22" t="n"/>
      <c r="C173" s="27" t="n"/>
      <c r="F173" s="27">
        <f>IF(OR($C173="",$D173=""),"",ROUND($C173*(1+$D173/30),1))</f>
        <v/>
      </c>
      <c r="G173" s="30">
        <f>IF($F173="","",IF($F173&gt;=_xlfn.MAXIFS($F$4:$F$203,$B$4:$B$203,$B173),"PR ★",""))</f>
        <v/>
      </c>
    </row>
    <row r="174">
      <c r="A174" s="22" t="n"/>
      <c r="C174" s="27" t="n"/>
      <c r="F174" s="27">
        <f>IF(OR($C174="",$D174=""),"",ROUND($C174*(1+$D174/30),1))</f>
        <v/>
      </c>
      <c r="G174" s="30">
        <f>IF($F174="","",IF($F174&gt;=_xlfn.MAXIFS($F$4:$F$203,$B$4:$B$203,$B174),"PR ★",""))</f>
        <v/>
      </c>
    </row>
    <row r="175">
      <c r="A175" s="22" t="n"/>
      <c r="C175" s="27" t="n"/>
      <c r="F175" s="27">
        <f>IF(OR($C175="",$D175=""),"",ROUND($C175*(1+$D175/30),1))</f>
        <v/>
      </c>
      <c r="G175" s="30">
        <f>IF($F175="","",IF($F175&gt;=_xlfn.MAXIFS($F$4:$F$203,$B$4:$B$203,$B175),"PR ★",""))</f>
        <v/>
      </c>
    </row>
    <row r="176">
      <c r="A176" s="22" t="n"/>
      <c r="C176" s="27" t="n"/>
      <c r="F176" s="27">
        <f>IF(OR($C176="",$D176=""),"",ROUND($C176*(1+$D176/30),1))</f>
        <v/>
      </c>
      <c r="G176" s="30">
        <f>IF($F176="","",IF($F176&gt;=_xlfn.MAXIFS($F$4:$F$203,$B$4:$B$203,$B176),"PR ★",""))</f>
        <v/>
      </c>
    </row>
    <row r="177">
      <c r="A177" s="22" t="n"/>
      <c r="C177" s="27" t="n"/>
      <c r="F177" s="27">
        <f>IF(OR($C177="",$D177=""),"",ROUND($C177*(1+$D177/30),1))</f>
        <v/>
      </c>
      <c r="G177" s="30">
        <f>IF($F177="","",IF($F177&gt;=_xlfn.MAXIFS($F$4:$F$203,$B$4:$B$203,$B177),"PR ★",""))</f>
        <v/>
      </c>
    </row>
    <row r="178">
      <c r="A178" s="22" t="n"/>
      <c r="C178" s="27" t="n"/>
      <c r="F178" s="27">
        <f>IF(OR($C178="",$D178=""),"",ROUND($C178*(1+$D178/30),1))</f>
        <v/>
      </c>
      <c r="G178" s="30">
        <f>IF($F178="","",IF($F178&gt;=_xlfn.MAXIFS($F$4:$F$203,$B$4:$B$203,$B178),"PR ★",""))</f>
        <v/>
      </c>
    </row>
    <row r="179">
      <c r="A179" s="22" t="n"/>
      <c r="C179" s="27" t="n"/>
      <c r="F179" s="27">
        <f>IF(OR($C179="",$D179=""),"",ROUND($C179*(1+$D179/30),1))</f>
        <v/>
      </c>
      <c r="G179" s="30">
        <f>IF($F179="","",IF($F179&gt;=_xlfn.MAXIFS($F$4:$F$203,$B$4:$B$203,$B179),"PR ★",""))</f>
        <v/>
      </c>
    </row>
    <row r="180">
      <c r="A180" s="22" t="n"/>
      <c r="C180" s="27" t="n"/>
      <c r="F180" s="27">
        <f>IF(OR($C180="",$D180=""),"",ROUND($C180*(1+$D180/30),1))</f>
        <v/>
      </c>
      <c r="G180" s="30">
        <f>IF($F180="","",IF($F180&gt;=_xlfn.MAXIFS($F$4:$F$203,$B$4:$B$203,$B180),"PR ★",""))</f>
        <v/>
      </c>
    </row>
    <row r="181">
      <c r="A181" s="22" t="n"/>
      <c r="C181" s="27" t="n"/>
      <c r="F181" s="27">
        <f>IF(OR($C181="",$D181=""),"",ROUND($C181*(1+$D181/30),1))</f>
        <v/>
      </c>
      <c r="G181" s="30">
        <f>IF($F181="","",IF($F181&gt;=_xlfn.MAXIFS($F$4:$F$203,$B$4:$B$203,$B181),"PR ★",""))</f>
        <v/>
      </c>
    </row>
    <row r="182">
      <c r="A182" s="22" t="n"/>
      <c r="C182" s="27" t="n"/>
      <c r="F182" s="27">
        <f>IF(OR($C182="",$D182=""),"",ROUND($C182*(1+$D182/30),1))</f>
        <v/>
      </c>
      <c r="G182" s="30">
        <f>IF($F182="","",IF($F182&gt;=_xlfn.MAXIFS($F$4:$F$203,$B$4:$B$203,$B182),"PR ★",""))</f>
        <v/>
      </c>
    </row>
    <row r="183">
      <c r="A183" s="22" t="n"/>
      <c r="C183" s="27" t="n"/>
      <c r="F183" s="27">
        <f>IF(OR($C183="",$D183=""),"",ROUND($C183*(1+$D183/30),1))</f>
        <v/>
      </c>
      <c r="G183" s="30">
        <f>IF($F183="","",IF($F183&gt;=_xlfn.MAXIFS($F$4:$F$203,$B$4:$B$203,$B183),"PR ★",""))</f>
        <v/>
      </c>
    </row>
    <row r="184">
      <c r="A184" s="22" t="n"/>
      <c r="C184" s="27" t="n"/>
      <c r="F184" s="27">
        <f>IF(OR($C184="",$D184=""),"",ROUND($C184*(1+$D184/30),1))</f>
        <v/>
      </c>
      <c r="G184" s="30">
        <f>IF($F184="","",IF($F184&gt;=_xlfn.MAXIFS($F$4:$F$203,$B$4:$B$203,$B184),"PR ★",""))</f>
        <v/>
      </c>
    </row>
    <row r="185">
      <c r="A185" s="22" t="n"/>
      <c r="C185" s="27" t="n"/>
      <c r="F185" s="27">
        <f>IF(OR($C185="",$D185=""),"",ROUND($C185*(1+$D185/30),1))</f>
        <v/>
      </c>
      <c r="G185" s="30">
        <f>IF($F185="","",IF($F185&gt;=_xlfn.MAXIFS($F$4:$F$203,$B$4:$B$203,$B185),"PR ★",""))</f>
        <v/>
      </c>
    </row>
    <row r="186">
      <c r="A186" s="22" t="n"/>
      <c r="C186" s="27" t="n"/>
      <c r="F186" s="27">
        <f>IF(OR($C186="",$D186=""),"",ROUND($C186*(1+$D186/30),1))</f>
        <v/>
      </c>
      <c r="G186" s="30">
        <f>IF($F186="","",IF($F186&gt;=_xlfn.MAXIFS($F$4:$F$203,$B$4:$B$203,$B186),"PR ★",""))</f>
        <v/>
      </c>
    </row>
    <row r="187">
      <c r="A187" s="22" t="n"/>
      <c r="C187" s="27" t="n"/>
      <c r="F187" s="27">
        <f>IF(OR($C187="",$D187=""),"",ROUND($C187*(1+$D187/30),1))</f>
        <v/>
      </c>
      <c r="G187" s="30">
        <f>IF($F187="","",IF($F187&gt;=_xlfn.MAXIFS($F$4:$F$203,$B$4:$B$203,$B187),"PR ★",""))</f>
        <v/>
      </c>
    </row>
    <row r="188">
      <c r="A188" s="22" t="n"/>
      <c r="C188" s="27" t="n"/>
      <c r="F188" s="27">
        <f>IF(OR($C188="",$D188=""),"",ROUND($C188*(1+$D188/30),1))</f>
        <v/>
      </c>
      <c r="G188" s="30">
        <f>IF($F188="","",IF($F188&gt;=_xlfn.MAXIFS($F$4:$F$203,$B$4:$B$203,$B188),"PR ★",""))</f>
        <v/>
      </c>
    </row>
    <row r="189">
      <c r="A189" s="22" t="n"/>
      <c r="C189" s="27" t="n"/>
      <c r="F189" s="27">
        <f>IF(OR($C189="",$D189=""),"",ROUND($C189*(1+$D189/30),1))</f>
        <v/>
      </c>
      <c r="G189" s="30">
        <f>IF($F189="","",IF($F189&gt;=_xlfn.MAXIFS($F$4:$F$203,$B$4:$B$203,$B189),"PR ★",""))</f>
        <v/>
      </c>
    </row>
    <row r="190">
      <c r="A190" s="22" t="n"/>
      <c r="C190" s="27" t="n"/>
      <c r="F190" s="27">
        <f>IF(OR($C190="",$D190=""),"",ROUND($C190*(1+$D190/30),1))</f>
        <v/>
      </c>
      <c r="G190" s="30">
        <f>IF($F190="","",IF($F190&gt;=_xlfn.MAXIFS($F$4:$F$203,$B$4:$B$203,$B190),"PR ★",""))</f>
        <v/>
      </c>
    </row>
    <row r="191">
      <c r="A191" s="22" t="n"/>
      <c r="C191" s="27" t="n"/>
      <c r="F191" s="27">
        <f>IF(OR($C191="",$D191=""),"",ROUND($C191*(1+$D191/30),1))</f>
        <v/>
      </c>
      <c r="G191" s="30">
        <f>IF($F191="","",IF($F191&gt;=_xlfn.MAXIFS($F$4:$F$203,$B$4:$B$203,$B191),"PR ★",""))</f>
        <v/>
      </c>
    </row>
    <row r="192">
      <c r="A192" s="22" t="n"/>
      <c r="C192" s="27" t="n"/>
      <c r="F192" s="27">
        <f>IF(OR($C192="",$D192=""),"",ROUND($C192*(1+$D192/30),1))</f>
        <v/>
      </c>
      <c r="G192" s="30">
        <f>IF($F192="","",IF($F192&gt;=_xlfn.MAXIFS($F$4:$F$203,$B$4:$B$203,$B192),"PR ★",""))</f>
        <v/>
      </c>
    </row>
    <row r="193">
      <c r="A193" s="22" t="n"/>
      <c r="C193" s="27" t="n"/>
      <c r="F193" s="27">
        <f>IF(OR($C193="",$D193=""),"",ROUND($C193*(1+$D193/30),1))</f>
        <v/>
      </c>
      <c r="G193" s="30">
        <f>IF($F193="","",IF($F193&gt;=_xlfn.MAXIFS($F$4:$F$203,$B$4:$B$203,$B193),"PR ★",""))</f>
        <v/>
      </c>
    </row>
    <row r="194">
      <c r="A194" s="22" t="n"/>
      <c r="C194" s="27" t="n"/>
      <c r="F194" s="27">
        <f>IF(OR($C194="",$D194=""),"",ROUND($C194*(1+$D194/30),1))</f>
        <v/>
      </c>
      <c r="G194" s="30">
        <f>IF($F194="","",IF($F194&gt;=_xlfn.MAXIFS($F$4:$F$203,$B$4:$B$203,$B194),"PR ★",""))</f>
        <v/>
      </c>
    </row>
    <row r="195">
      <c r="A195" s="22" t="n"/>
      <c r="C195" s="27" t="n"/>
      <c r="F195" s="27">
        <f>IF(OR($C195="",$D195=""),"",ROUND($C195*(1+$D195/30),1))</f>
        <v/>
      </c>
      <c r="G195" s="30">
        <f>IF($F195="","",IF($F195&gt;=_xlfn.MAXIFS($F$4:$F$203,$B$4:$B$203,$B195),"PR ★",""))</f>
        <v/>
      </c>
    </row>
    <row r="196">
      <c r="A196" s="22" t="n"/>
      <c r="C196" s="27" t="n"/>
      <c r="F196" s="27">
        <f>IF(OR($C196="",$D196=""),"",ROUND($C196*(1+$D196/30),1))</f>
        <v/>
      </c>
      <c r="G196" s="30">
        <f>IF($F196="","",IF($F196&gt;=_xlfn.MAXIFS($F$4:$F$203,$B$4:$B$203,$B196),"PR ★",""))</f>
        <v/>
      </c>
    </row>
    <row r="197">
      <c r="A197" s="22" t="n"/>
      <c r="C197" s="27" t="n"/>
      <c r="F197" s="27">
        <f>IF(OR($C197="",$D197=""),"",ROUND($C197*(1+$D197/30),1))</f>
        <v/>
      </c>
      <c r="G197" s="30">
        <f>IF($F197="","",IF($F197&gt;=_xlfn.MAXIFS($F$4:$F$203,$B$4:$B$203,$B197),"PR ★",""))</f>
        <v/>
      </c>
    </row>
    <row r="198">
      <c r="A198" s="22" t="n"/>
      <c r="C198" s="27" t="n"/>
      <c r="F198" s="27">
        <f>IF(OR($C198="",$D198=""),"",ROUND($C198*(1+$D198/30),1))</f>
        <v/>
      </c>
      <c r="G198" s="30">
        <f>IF($F198="","",IF($F198&gt;=_xlfn.MAXIFS($F$4:$F$203,$B$4:$B$203,$B198),"PR ★",""))</f>
        <v/>
      </c>
    </row>
    <row r="199">
      <c r="A199" s="22" t="n"/>
      <c r="C199" s="27" t="n"/>
      <c r="F199" s="27">
        <f>IF(OR($C199="",$D199=""),"",ROUND($C199*(1+$D199/30),1))</f>
        <v/>
      </c>
      <c r="G199" s="30">
        <f>IF($F199="","",IF($F199&gt;=_xlfn.MAXIFS($F$4:$F$203,$B$4:$B$203,$B199),"PR ★",""))</f>
        <v/>
      </c>
    </row>
    <row r="200">
      <c r="A200" s="22" t="n"/>
      <c r="C200" s="27" t="n"/>
      <c r="F200" s="27">
        <f>IF(OR($C200="",$D200=""),"",ROUND($C200*(1+$D200/30),1))</f>
        <v/>
      </c>
      <c r="G200" s="30">
        <f>IF($F200="","",IF($F200&gt;=_xlfn.MAXIFS($F$4:$F$203,$B$4:$B$203,$B200),"PR ★",""))</f>
        <v/>
      </c>
    </row>
    <row r="201">
      <c r="A201" s="22" t="n"/>
      <c r="C201" s="27" t="n"/>
      <c r="F201" s="27">
        <f>IF(OR($C201="",$D201=""),"",ROUND($C201*(1+$D201/30),1))</f>
        <v/>
      </c>
      <c r="G201" s="30">
        <f>IF($F201="","",IF($F201&gt;=_xlfn.MAXIFS($F$4:$F$203,$B$4:$B$203,$B201),"PR ★",""))</f>
        <v/>
      </c>
    </row>
    <row r="202">
      <c r="A202" s="22" t="n"/>
      <c r="C202" s="27" t="n"/>
      <c r="F202" s="27">
        <f>IF(OR($C202="",$D202=""),"",ROUND($C202*(1+$D202/30),1))</f>
        <v/>
      </c>
      <c r="G202" s="30">
        <f>IF($F202="","",IF($F202&gt;=_xlfn.MAXIFS($F$4:$F$203,$B$4:$B$203,$B202),"PR ★",""))</f>
        <v/>
      </c>
    </row>
    <row r="203">
      <c r="A203" s="22" t="n"/>
      <c r="C203" s="27" t="n"/>
      <c r="F203" s="27">
        <f>IF(OR($C203="",$D203=""),"",ROUND($C203*(1+$D203/30),1))</f>
        <v/>
      </c>
      <c r="G203" s="30">
        <f>IF($F203="","",IF($F203&gt;=_xlfn.MAXIFS($F$4:$F$203,$B$4:$B$203,$B203),"PR ★",""))</f>
        <v/>
      </c>
    </row>
  </sheetData>
  <mergeCells count="1">
    <mergeCell ref="A1:G1"/>
  </mergeCells>
  <dataValidations count="1">
    <dataValidation sqref="B4:B203" showDropDown="0" showInputMessage="0" showErrorMessage="0" allowBlank="1" type="list">
      <formula1>=$I$4:$I$23</formula1>
    </dataValidation>
  </dataValidations>
  <pageMargins left="0.4" right="0.4" top="0.5" bottom="0.5" header="0.5" footer="0.5"/>
  <pageSetup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16A34A"/>
    <outlinePr summaryBelow="1" summaryRight="1"/>
    <pageSetUpPr fitToPage="1"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0" customHeight="1">
      <c r="A1" s="1" t="inlineStr">
        <is>
          <t>GUIDE — read me first</t>
        </is>
      </c>
    </row>
    <row r="3">
      <c r="A3" s="2" t="inlineStr">
        <is>
          <t>GET STARTED IN 3 STEPS</t>
        </is>
      </c>
    </row>
    <row r="4" ht="28" customHeight="1">
      <c r="A4" s="31" t="inlineStr">
        <is>
          <t>1. Open the Setup tab and fill in the blue cells (units, sex, age, height, weight, activity, goal).</t>
        </is>
      </c>
    </row>
    <row r="5" ht="28" customHeight="1">
      <c r="A5" s="31" t="inlineStr">
        <is>
          <t>2. Weigh yourself every morning (after bathroom, before food or drink) and log it in Weight Log.</t>
        </is>
      </c>
    </row>
    <row r="6" ht="28" customHeight="1">
      <c r="A6" s="31" t="inlineStr">
        <is>
          <t>3. Log your main lifts in Workout Log. Check the Dashboard once a week — not every day.</t>
        </is>
      </c>
    </row>
    <row r="8">
      <c r="A8" s="2" t="inlineStr">
        <is>
          <t>WHY TREND WEIGHT (AND NOT THE SCALE)</t>
        </is>
      </c>
    </row>
    <row r="9" ht="28" customHeight="1">
      <c r="A9" s="31" t="inlineStr">
        <is>
          <t>Daily weight swings 1-2% from water, sodium, carbs and stress. The 7-day moving average filters that noise and shows your real direction. Judge progress only by the trend line.</t>
        </is>
      </c>
    </row>
    <row r="11">
      <c r="A11" s="2" t="inlineStr">
        <is>
          <t>WHAT IS RIR?</t>
        </is>
      </c>
    </row>
    <row r="12" ht="28" customHeight="1">
      <c r="A12" s="31" t="inlineStr">
        <is>
          <t>Reps In Reserve: how many clean reps you had left in the tank. RIR 0 = absolute failure, RIR 2 = could have done 2 more. Most working sets should live at RIR 1-3.</t>
        </is>
      </c>
    </row>
    <row r="13" ht="28" customHeight="1">
      <c r="A13" s="31" t="inlineStr">
        <is>
          <t>The tracker turns every set into an estimated 1-rep max (Epley formula). If your e1RM creeps up over the weeks, you are progressing — even when the weight on the bar looks the same.</t>
        </is>
      </c>
    </row>
    <row r="15">
      <c r="A15" s="2" t="inlineStr">
        <is>
          <t>WHEN TO ADJUST CALORIES</t>
        </is>
      </c>
    </row>
    <row r="16" ht="28" customHeight="1">
      <c r="A16" s="31" t="inlineStr">
        <is>
          <t>Never react to a single weigh-in. Collect at least 2 full weeks of data, then follow the Coach suggestion on the Dashboard. Adjust in ~150 kcal steps, taken from carbs, and hold for another 2 weeks.</t>
        </is>
      </c>
    </row>
    <row r="18">
      <c r="A18" s="2" t="inlineStr">
        <is>
          <t>SAMPLE DATA</t>
        </is>
      </c>
    </row>
    <row r="19" ht="28" customHeight="1">
      <c r="A19" s="31" t="inlineStr">
        <is>
          <t>Weight Log and Workout Log ship with 2 weeks of sample data (blue cells) so you can see how everything works. Delete only the blue entries — never the formula columns — and start logging.</t>
        </is>
      </c>
    </row>
    <row r="21">
      <c r="A21" s="2" t="inlineStr">
        <is>
          <t>COMPATIBILITY</t>
        </is>
      </c>
    </row>
    <row r="22" ht="28" customHeight="1">
      <c r="A22" s="31" t="inlineStr">
        <is>
          <t>Works in Microsoft Excel 2019+/365 and Google Sheets (upload to Drive, then Open with Google Sheets). The PR column uses MAXIFS, which needs Excel 2019 or newer.</t>
        </is>
      </c>
    </row>
    <row r="24">
      <c r="A24" s="2" t="inlineStr">
        <is>
          <t>DISCLAIMER</t>
        </is>
      </c>
    </row>
    <row r="25" ht="28" customHeight="1">
      <c r="A25" s="31" t="inlineStr">
        <is>
          <t>This template is for educational purposes and is not medical or dietary advice. Consult a professional before major changes, especially with existing health conditions.</t>
        </is>
      </c>
    </row>
  </sheetData>
  <mergeCells count="1">
    <mergeCell ref="A1"/>
  </mergeCells>
  <pageMargins left="0.4" right="0.4" top="0.5" bottom="0.5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2026-06-11T13:10:59Z</dcterms:created>
  <dcterms:modified xsi:type="dcterms:W3CDTF">2026-06-11T13:10:59Z</dcterms:modified>
</cp:coreProperties>
</file>